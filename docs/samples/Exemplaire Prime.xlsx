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-120" yWindow="-120" windowWidth="29040" windowHeight="157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4" i="1" l="1"/>
  <c r="I44" i="1"/>
  <c r="P43" i="1"/>
  <c r="O43" i="1"/>
  <c r="K43" i="1"/>
  <c r="J43" i="1"/>
  <c r="P42" i="1"/>
  <c r="O42" i="1"/>
  <c r="J42" i="1"/>
  <c r="K42" i="1" s="1"/>
  <c r="P41" i="1"/>
  <c r="O41" i="1"/>
  <c r="K41" i="1"/>
  <c r="J41" i="1"/>
  <c r="P40" i="1"/>
  <c r="P44" i="1" s="1"/>
  <c r="O40" i="1"/>
  <c r="J40" i="1"/>
  <c r="K40" i="1" s="1"/>
  <c r="N35" i="1"/>
  <c r="I35" i="1"/>
  <c r="P34" i="1"/>
  <c r="O34" i="1"/>
  <c r="K34" i="1"/>
  <c r="J34" i="1"/>
  <c r="P33" i="1"/>
  <c r="O33" i="1"/>
  <c r="J33" i="1"/>
  <c r="K33" i="1" s="1"/>
  <c r="P32" i="1"/>
  <c r="P35" i="1" s="1"/>
  <c r="O32" i="1"/>
  <c r="K32" i="1"/>
  <c r="J32" i="1"/>
  <c r="N31" i="1"/>
  <c r="I31" i="1"/>
  <c r="P30" i="1"/>
  <c r="O30" i="1"/>
  <c r="J30" i="1"/>
  <c r="K30" i="1" s="1"/>
  <c r="P29" i="1"/>
  <c r="O29" i="1"/>
  <c r="J29" i="1"/>
  <c r="K29" i="1" s="1"/>
  <c r="P28" i="1"/>
  <c r="O28" i="1"/>
  <c r="J28" i="1"/>
  <c r="K28" i="1" s="1"/>
  <c r="P27" i="1"/>
  <c r="O27" i="1"/>
  <c r="J27" i="1"/>
  <c r="K27" i="1" s="1"/>
  <c r="P26" i="1"/>
  <c r="O26" i="1"/>
  <c r="J26" i="1"/>
  <c r="K26" i="1" s="1"/>
  <c r="P25" i="1"/>
  <c r="O25" i="1"/>
  <c r="J25" i="1"/>
  <c r="K25" i="1" s="1"/>
  <c r="P24" i="1"/>
  <c r="P31" i="1" s="1"/>
  <c r="O24" i="1"/>
  <c r="J24" i="1"/>
  <c r="K24" i="1" s="1"/>
  <c r="N23" i="1"/>
  <c r="I23" i="1"/>
  <c r="O22" i="1"/>
  <c r="J22" i="1"/>
  <c r="O21" i="1"/>
  <c r="J21" i="1"/>
  <c r="P20" i="1"/>
  <c r="O20" i="1"/>
  <c r="J20" i="1"/>
  <c r="O19" i="1"/>
  <c r="J19" i="1"/>
  <c r="O18" i="1"/>
  <c r="J18" i="1"/>
  <c r="O17" i="1"/>
  <c r="J17" i="1"/>
  <c r="O16" i="1"/>
  <c r="J16" i="1"/>
  <c r="O15" i="1"/>
  <c r="J15" i="1"/>
  <c r="O14" i="1"/>
  <c r="J14" i="1"/>
  <c r="O13" i="1"/>
  <c r="J13" i="1"/>
  <c r="O12" i="1"/>
  <c r="J12" i="1"/>
  <c r="P11" i="1"/>
  <c r="O11" i="1"/>
  <c r="J11" i="1"/>
  <c r="P10" i="1"/>
  <c r="O10" i="1"/>
  <c r="J10" i="1"/>
  <c r="K10" i="1" s="1"/>
  <c r="P9" i="1"/>
  <c r="O9" i="1"/>
  <c r="K9" i="1"/>
  <c r="J9" i="1"/>
  <c r="P8" i="1"/>
  <c r="O8" i="1"/>
  <c r="J8" i="1"/>
  <c r="K8" i="1" s="1"/>
  <c r="P7" i="1"/>
  <c r="O7" i="1"/>
  <c r="J7" i="1"/>
  <c r="K7" i="1" s="1"/>
  <c r="J6" i="1"/>
  <c r="K6" i="1" s="1"/>
  <c r="J5" i="1"/>
  <c r="K5" i="1" s="1"/>
  <c r="P4" i="1"/>
  <c r="O4" i="1"/>
  <c r="J4" i="1"/>
  <c r="K4" i="1" s="1"/>
  <c r="K11" i="1" l="1"/>
  <c r="N36" i="1"/>
  <c r="P23" i="1"/>
  <c r="K20" i="1"/>
  <c r="K23" i="1" s="1"/>
  <c r="I36" i="1"/>
  <c r="P45" i="1"/>
  <c r="I45" i="1"/>
  <c r="N45" i="1"/>
  <c r="K44" i="1"/>
  <c r="K31" i="1"/>
  <c r="P36" i="1"/>
  <c r="K35" i="1"/>
  <c r="K45" i="1" l="1"/>
  <c r="K36" i="1"/>
  <c r="Q36" i="1" s="1"/>
</calcChain>
</file>

<file path=xl/sharedStrings.xml><?xml version="1.0" encoding="utf-8"?>
<sst xmlns="http://schemas.openxmlformats.org/spreadsheetml/2006/main" count="144" uniqueCount="61">
  <si>
    <t>Répartitions des RDV</t>
  </si>
  <si>
    <t>Prime (Secteur)</t>
  </si>
  <si>
    <t>Challenge (Secteur)</t>
  </si>
  <si>
    <t>Plafond Prime</t>
  </si>
  <si>
    <t>Plafond Challenge</t>
  </si>
  <si>
    <t>Indicateurs</t>
  </si>
  <si>
    <t>Résultat</t>
  </si>
  <si>
    <t>KPI Point MIN</t>
  </si>
  <si>
    <t>KPI Point MAX</t>
  </si>
  <si>
    <t>Pondération</t>
  </si>
  <si>
    <t>Bonus Atteint (%)</t>
  </si>
  <si>
    <t>Montant</t>
  </si>
  <si>
    <t>KPI Challenge</t>
  </si>
  <si>
    <t>Taux de report</t>
  </si>
  <si>
    <t>ZTD</t>
  </si>
  <si>
    <t>ZMD</t>
  </si>
  <si>
    <t>RIP</t>
  </si>
  <si>
    <t>Délai de prise RDV d’installation</t>
  </si>
  <si>
    <t>Satcli ( sur RDV OK)</t>
  </si>
  <si>
    <t>Satcli ( sur RDV NOK)</t>
  </si>
  <si>
    <t>transformation des GEM</t>
  </si>
  <si>
    <t>Performances des RDV d’installation de Rang 1 (par date de RDV)</t>
  </si>
  <si>
    <t>Barème PLP</t>
  </si>
  <si>
    <t>GROUPE A</t>
  </si>
  <si>
    <t>RACC</t>
  </si>
  <si>
    <t>GROUPE B</t>
  </si>
  <si>
    <t>GROUPE C</t>
  </si>
  <si>
    <t>Barème Hotline</t>
  </si>
  <si>
    <t>Barème Construction</t>
  </si>
  <si>
    <t>Performances des RDV d’installation hors Rang 1 (par date de RDV)</t>
  </si>
  <si>
    <t>Somme RACC</t>
  </si>
  <si>
    <t>SAV</t>
  </si>
  <si>
    <t>Taux de CR OK</t>
  </si>
  <si>
    <t>Délai de prise RDV SAV</t>
  </si>
  <si>
    <t>Sécurisation de RDV</t>
  </si>
  <si>
    <t>Délai de traitement Audit PM</t>
  </si>
  <si>
    <t>CLIENTS TRES INSATISFAIT</t>
  </si>
  <si>
    <t>CONFORMITE DE CR</t>
  </si>
  <si>
    <t>DELAI traitement remis en etat</t>
  </si>
  <si>
    <t>Somme SAV</t>
  </si>
  <si>
    <t>Cellule</t>
  </si>
  <si>
    <t xml:space="preserve">PEC callback client </t>
  </si>
  <si>
    <t>Taux de tickets affectés en - de 6h ouvrées IND  de groupe</t>
  </si>
  <si>
    <t>Qualite de traitement (picking 20 dossier)</t>
  </si>
  <si>
    <t>Somme Indicateurs Cellules</t>
  </si>
  <si>
    <t>TOTAL Général</t>
  </si>
  <si>
    <r>
      <rPr>
        <sz val="11"/>
        <color theme="1"/>
        <rFont val="Calibri"/>
        <family val="2"/>
      </rPr>
      <t xml:space="preserve">DMT
</t>
    </r>
    <r>
      <rPr>
        <i/>
        <sz val="10"/>
        <color theme="1"/>
        <rFont val="Calibri"/>
        <family val="2"/>
      </rPr>
      <t>La Durée Moyenne de Traitement</t>
    </r>
  </si>
  <si>
    <r>
      <rPr>
        <sz val="11"/>
        <color theme="1"/>
        <rFont val="Calibri"/>
        <family val="2"/>
      </rPr>
      <t xml:space="preserve">Temps mort (ACW)
</t>
    </r>
    <r>
      <rPr>
        <i/>
        <sz val="10"/>
        <color theme="1"/>
        <rFont val="Calibri"/>
        <family val="2"/>
      </rPr>
      <t>La période de temps entre deux appels</t>
    </r>
  </si>
  <si>
    <t xml:space="preserve">Taux d'appel </t>
  </si>
  <si>
    <t>Picking (10 dossier)</t>
  </si>
  <si>
    <t>INDICATEURS</t>
  </si>
  <si>
    <t>BAREMES</t>
  </si>
  <si>
    <t>GROUPES</t>
  </si>
  <si>
    <t>contrats</t>
  </si>
  <si>
    <t>secteur</t>
  </si>
  <si>
    <t>kpis</t>
  </si>
  <si>
    <t>nouveau secteur</t>
  </si>
  <si>
    <t>kpi</t>
  </si>
  <si>
    <t>new contrat</t>
  </si>
  <si>
    <t>new indicateurs</t>
  </si>
  <si>
    <t>exemple dorganisation fiche de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</si>
</sst>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0.0%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i/>
      <sz val="10"/>
      <color rgb="FFFA7D00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2F5496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ED7D31"/>
      <name val="Arial"/>
      <family val="2"/>
    </font>
    <font>
      <sz val="11"/>
      <color rgb="FF000000"/>
      <name val="Calibri"/>
      <family val="2"/>
    </font>
    <font>
      <b/>
      <sz val="11"/>
      <color rgb="FF00B05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name val="Calibri"/>
      <family val="2"/>
    </font>
    <font>
      <b/>
      <sz val="10"/>
      <color theme="1"/>
      <name val="Aptos Narrow"/>
      <family val="2"/>
    </font>
    <font>
      <b/>
      <sz val="11"/>
      <color rgb="FF2F5496"/>
      <name val="Calibri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</font>
    <font>
      <b/>
      <sz val="12"/>
      <color theme="0"/>
      <name val="Calibri"/>
      <family val="2"/>
    </font>
    <font>
      <sz val="11"/>
      <color theme="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DE5BC"/>
        <bgColor indexed="64"/>
      </patternFill>
    </fill>
    <fill>
      <patternFill patternType="solid">
        <fgColor rgb="FFDFF5E5"/>
        <bgColor indexed="64"/>
      </patternFill>
    </fill>
    <fill>
      <patternFill patternType="solid">
        <fgColor rgb="FFC6E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C6ECD1"/>
        <bgColor rgb="FFC6ECD1"/>
      </patternFill>
    </fill>
    <fill>
      <patternFill patternType="solid">
        <fgColor rgb="FFECF4FA"/>
        <bgColor rgb="FFECF4FA"/>
      </patternFill>
    </fill>
    <fill>
      <patternFill patternType="solid">
        <fgColor rgb="FFDFF5E5"/>
        <bgColor rgb="FFDFF5E5"/>
      </patternFill>
    </fill>
    <fill>
      <patternFill patternType="solid">
        <fgColor rgb="FFC5E0B3"/>
        <bgColor rgb="FFC5E0B3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D7D3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4" borderId="1" applyNumberFormat="0" applyAlignment="0" applyProtection="0"/>
    <xf numFmtId="0" fontId="6" fillId="3" borderId="0" applyNumberFormat="0" applyBorder="0" applyAlignment="0" applyProtection="0"/>
    <xf numFmtId="0" fontId="10" fillId="0" borderId="0" applyNumberFormat="0" applyFont="0" applyFill="0" applyBorder="0" applyAlignment="0" applyProtection="0"/>
    <xf numFmtId="9" fontId="10" fillId="0" borderId="0" applyFont="0" applyFill="0" applyBorder="0" applyAlignment="0" applyProtection="0"/>
  </cellStyleXfs>
  <cellXfs count="170">
    <xf numFmtId="0" fontId="0" fillId="0" borderId="0" xfId="0"/>
    <xf numFmtId="0" fontId="8" fillId="5" borderId="2" xfId="2" applyFont="1" applyFill="1" applyBorder="1" applyAlignment="1">
      <alignment horizontal="center" vertical="center" wrapText="1"/>
    </xf>
    <xf numFmtId="0" fontId="7" fillId="7" borderId="2" xfId="4" applyFont="1" applyFill="1" applyBorder="1" applyAlignment="1">
      <alignment horizontal="center" vertical="center" wrapText="1"/>
    </xf>
    <xf numFmtId="0" fontId="8" fillId="2" borderId="2" xfId="2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9" fillId="0" borderId="2" xfId="3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0" fontId="11" fillId="8" borderId="2" xfId="5" applyNumberFormat="1" applyFont="1" applyFill="1" applyBorder="1" applyAlignment="1">
      <alignment horizontal="center"/>
    </xf>
    <xf numFmtId="10" fontId="4" fillId="7" borderId="2" xfId="1" applyNumberFormat="1" applyFont="1" applyFill="1" applyBorder="1" applyAlignment="1">
      <alignment horizontal="center" vertical="center"/>
    </xf>
    <xf numFmtId="9" fontId="0" fillId="9" borderId="2" xfId="0" applyNumberFormat="1" applyFill="1" applyBorder="1" applyAlignment="1">
      <alignment horizontal="center" vertical="center"/>
    </xf>
    <xf numFmtId="10" fontId="12" fillId="0" borderId="2" xfId="6" applyNumberFormat="1" applyFont="1" applyBorder="1" applyAlignment="1">
      <alignment horizontal="center" vertical="center"/>
    </xf>
    <xf numFmtId="164" fontId="10" fillId="0" borderId="2" xfId="5" applyNumberFormat="1" applyBorder="1" applyAlignment="1">
      <alignment horizontal="center" vertical="center"/>
    </xf>
    <xf numFmtId="10" fontId="4" fillId="7" borderId="2" xfId="0" applyNumberFormat="1" applyFont="1" applyFill="1" applyBorder="1" applyAlignment="1">
      <alignment horizontal="center" vertical="center"/>
    </xf>
    <xf numFmtId="10" fontId="0" fillId="9" borderId="2" xfId="0" applyNumberFormat="1" applyFill="1" applyBorder="1" applyAlignment="1">
      <alignment horizontal="center" vertical="center"/>
    </xf>
    <xf numFmtId="10" fontId="12" fillId="10" borderId="2" xfId="6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0" fontId="14" fillId="0" borderId="12" xfId="0" applyNumberFormat="1" applyFont="1" applyBorder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 wrapText="1"/>
    </xf>
    <xf numFmtId="10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vertical="center"/>
    </xf>
    <xf numFmtId="164" fontId="5" fillId="12" borderId="2" xfId="0" applyNumberFormat="1" applyFont="1" applyFill="1" applyBorder="1" applyAlignment="1">
      <alignment horizontal="center" vertical="center"/>
    </xf>
    <xf numFmtId="10" fontId="16" fillId="13" borderId="17" xfId="0" applyNumberFormat="1" applyFont="1" applyFill="1" applyBorder="1" applyAlignment="1">
      <alignment horizontal="center" vertical="center"/>
    </xf>
    <xf numFmtId="9" fontId="17" fillId="9" borderId="2" xfId="0" applyNumberFormat="1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0" fontId="18" fillId="13" borderId="17" xfId="0" applyNumberFormat="1" applyFont="1" applyFill="1" applyBorder="1" applyAlignment="1">
      <alignment horizontal="center"/>
    </xf>
    <xf numFmtId="9" fontId="17" fillId="9" borderId="2" xfId="1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10" fontId="12" fillId="0" borderId="2" xfId="6" applyNumberFormat="1" applyFont="1" applyFill="1" applyBorder="1" applyAlignment="1">
      <alignment horizontal="center" vertical="center"/>
    </xf>
    <xf numFmtId="9" fontId="19" fillId="9" borderId="2" xfId="0" applyNumberFormat="1" applyFont="1" applyFill="1" applyBorder="1" applyAlignment="1">
      <alignment horizontal="center" vertical="center" wrapText="1"/>
    </xf>
    <xf numFmtId="10" fontId="4" fillId="10" borderId="2" xfId="0" applyNumberFormat="1" applyFont="1" applyFill="1" applyBorder="1" applyAlignment="1">
      <alignment horizontal="center" vertical="center"/>
    </xf>
    <xf numFmtId="0" fontId="16" fillId="13" borderId="17" xfId="0" applyFont="1" applyFill="1" applyBorder="1" applyAlignment="1">
      <alignment horizontal="center" vertical="center"/>
    </xf>
    <xf numFmtId="10" fontId="22" fillId="16" borderId="21" xfId="0" applyNumberFormat="1" applyFont="1" applyFill="1" applyBorder="1" applyAlignment="1">
      <alignment horizontal="center" vertical="center"/>
    </xf>
    <xf numFmtId="10" fontId="13" fillId="17" borderId="22" xfId="0" applyNumberFormat="1" applyFont="1" applyFill="1" applyBorder="1" applyAlignment="1">
      <alignment horizontal="center" vertical="center"/>
    </xf>
    <xf numFmtId="10" fontId="22" fillId="0" borderId="22" xfId="0" applyNumberFormat="1" applyFont="1" applyBorder="1" applyAlignment="1">
      <alignment horizontal="center" vertical="center"/>
    </xf>
    <xf numFmtId="10" fontId="14" fillId="0" borderId="22" xfId="0" applyNumberFormat="1" applyFont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10" fontId="22" fillId="18" borderId="21" xfId="0" applyNumberFormat="1" applyFont="1" applyFill="1" applyBorder="1" applyAlignment="1">
      <alignment horizontal="center" vertical="center"/>
    </xf>
    <xf numFmtId="2" fontId="22" fillId="16" borderId="27" xfId="0" applyNumberFormat="1" applyFont="1" applyFill="1" applyBorder="1" applyAlignment="1">
      <alignment horizontal="center" vertical="center"/>
    </xf>
    <xf numFmtId="2" fontId="13" fillId="17" borderId="28" xfId="0" applyNumberFormat="1" applyFont="1" applyFill="1" applyBorder="1" applyAlignment="1">
      <alignment horizontal="center" vertical="center"/>
    </xf>
    <xf numFmtId="10" fontId="22" fillId="0" borderId="28" xfId="0" applyNumberFormat="1" applyFont="1" applyBorder="1" applyAlignment="1">
      <alignment horizontal="center" vertical="center"/>
    </xf>
    <xf numFmtId="10" fontId="14" fillId="0" borderId="28" xfId="0" applyNumberFormat="1" applyFont="1" applyBorder="1" applyAlignment="1">
      <alignment horizontal="center" vertical="center"/>
    </xf>
    <xf numFmtId="10" fontId="22" fillId="18" borderId="27" xfId="0" applyNumberFormat="1" applyFont="1" applyFill="1" applyBorder="1" applyAlignment="1">
      <alignment horizontal="center" vertical="center"/>
    </xf>
    <xf numFmtId="10" fontId="13" fillId="17" borderId="28" xfId="0" applyNumberFormat="1" applyFont="1" applyFill="1" applyBorder="1" applyAlignment="1">
      <alignment horizontal="center" vertical="center"/>
    </xf>
    <xf numFmtId="164" fontId="23" fillId="0" borderId="29" xfId="0" applyNumberFormat="1" applyFont="1" applyBorder="1" applyAlignment="1">
      <alignment horizontal="center" vertical="center"/>
    </xf>
    <xf numFmtId="2" fontId="22" fillId="18" borderId="27" xfId="0" applyNumberFormat="1" applyFont="1" applyFill="1" applyBorder="1" applyAlignment="1">
      <alignment horizontal="center" vertical="center"/>
    </xf>
    <xf numFmtId="10" fontId="24" fillId="19" borderId="33" xfId="0" applyNumberFormat="1" applyFont="1" applyFill="1" applyBorder="1" applyAlignment="1">
      <alignment horizontal="center" vertical="center"/>
    </xf>
    <xf numFmtId="0" fontId="24" fillId="19" borderId="33" xfId="0" applyFont="1" applyFill="1" applyBorder="1" applyAlignment="1">
      <alignment vertical="center"/>
    </xf>
    <xf numFmtId="164" fontId="24" fillId="19" borderId="34" xfId="0" applyNumberFormat="1" applyFont="1" applyFill="1" applyBorder="1" applyAlignment="1">
      <alignment horizontal="center" vertical="center"/>
    </xf>
    <xf numFmtId="0" fontId="24" fillId="19" borderId="35" xfId="0" applyFont="1" applyFill="1" applyBorder="1" applyAlignment="1">
      <alignment horizontal="center" vertical="center"/>
    </xf>
    <xf numFmtId="0" fontId="24" fillId="19" borderId="32" xfId="0" applyFont="1" applyFill="1" applyBorder="1" applyAlignment="1">
      <alignment horizontal="center" vertical="center"/>
    </xf>
    <xf numFmtId="164" fontId="24" fillId="19" borderId="36" xfId="0" applyNumberFormat="1" applyFont="1" applyFill="1" applyBorder="1" applyAlignment="1">
      <alignment horizontal="center" vertical="center"/>
    </xf>
    <xf numFmtId="10" fontId="25" fillId="20" borderId="2" xfId="0" applyNumberFormat="1" applyFont="1" applyFill="1" applyBorder="1" applyAlignment="1">
      <alignment horizontal="center" vertical="center" wrapText="1"/>
    </xf>
    <xf numFmtId="0" fontId="25" fillId="20" borderId="2" xfId="0" applyFont="1" applyFill="1" applyBorder="1" applyAlignment="1">
      <alignment vertical="center" wrapText="1"/>
    </xf>
    <xf numFmtId="4" fontId="25" fillId="20" borderId="2" xfId="0" applyNumberFormat="1" applyFont="1" applyFill="1" applyBorder="1" applyAlignment="1">
      <alignment horizontal="center" vertical="center" wrapText="1"/>
    </xf>
    <xf numFmtId="2" fontId="26" fillId="16" borderId="21" xfId="0" applyNumberFormat="1" applyFont="1" applyFill="1" applyBorder="1" applyAlignment="1">
      <alignment horizontal="center" vertical="center"/>
    </xf>
    <xf numFmtId="2" fontId="17" fillId="17" borderId="22" xfId="0" applyNumberFormat="1" applyFont="1" applyFill="1" applyBorder="1" applyAlignment="1">
      <alignment horizontal="center" vertical="center"/>
    </xf>
    <xf numFmtId="10" fontId="29" fillId="0" borderId="39" xfId="0" applyNumberFormat="1" applyFont="1" applyBorder="1" applyAlignment="1">
      <alignment horizontal="center" wrapText="1"/>
    </xf>
    <xf numFmtId="10" fontId="30" fillId="0" borderId="22" xfId="0" applyNumberFormat="1" applyFont="1" applyBorder="1" applyAlignment="1">
      <alignment horizontal="center" vertical="center"/>
    </xf>
    <xf numFmtId="164" fontId="31" fillId="0" borderId="23" xfId="0" applyNumberFormat="1" applyFont="1" applyBorder="1" applyAlignment="1">
      <alignment horizontal="center" vertical="center"/>
    </xf>
    <xf numFmtId="2" fontId="26" fillId="18" borderId="21" xfId="0" applyNumberFormat="1" applyFont="1" applyFill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2" fontId="26" fillId="16" borderId="27" xfId="0" applyNumberFormat="1" applyFont="1" applyFill="1" applyBorder="1" applyAlignment="1">
      <alignment horizontal="center" vertical="center"/>
    </xf>
    <xf numFmtId="2" fontId="17" fillId="17" borderId="28" xfId="0" applyNumberFormat="1" applyFont="1" applyFill="1" applyBorder="1" applyAlignment="1">
      <alignment horizontal="center" vertical="center"/>
    </xf>
    <xf numFmtId="10" fontId="30" fillId="0" borderId="28" xfId="0" applyNumberFormat="1" applyFont="1" applyBorder="1" applyAlignment="1">
      <alignment horizontal="center" vertical="center"/>
    </xf>
    <xf numFmtId="164" fontId="31" fillId="0" borderId="29" xfId="0" applyNumberFormat="1" applyFont="1" applyBorder="1" applyAlignment="1">
      <alignment horizontal="center" vertical="center"/>
    </xf>
    <xf numFmtId="2" fontId="26" fillId="18" borderId="27" xfId="0" applyNumberFormat="1" applyFont="1" applyFill="1" applyBorder="1" applyAlignment="1">
      <alignment horizontal="center" vertical="center"/>
    </xf>
    <xf numFmtId="10" fontId="26" fillId="0" borderId="28" xfId="0" applyNumberFormat="1" applyFont="1" applyBorder="1" applyAlignment="1">
      <alignment horizontal="center" vertical="center"/>
    </xf>
    <xf numFmtId="10" fontId="30" fillId="0" borderId="12" xfId="0" applyNumberFormat="1" applyFont="1" applyBorder="1" applyAlignment="1">
      <alignment horizontal="center" vertical="center"/>
    </xf>
    <xf numFmtId="2" fontId="17" fillId="17" borderId="12" xfId="0" applyNumberFormat="1" applyFont="1" applyFill="1" applyBorder="1" applyAlignment="1">
      <alignment horizontal="center" vertical="center"/>
    </xf>
    <xf numFmtId="1" fontId="26" fillId="18" borderId="41" xfId="0" applyNumberFormat="1" applyFont="1" applyFill="1" applyBorder="1" applyAlignment="1">
      <alignment horizontal="center" vertical="center"/>
    </xf>
    <xf numFmtId="10" fontId="26" fillId="0" borderId="12" xfId="0" applyNumberFormat="1" applyFont="1" applyBorder="1" applyAlignment="1">
      <alignment horizontal="center" vertical="center"/>
    </xf>
    <xf numFmtId="10" fontId="32" fillId="19" borderId="33" xfId="0" applyNumberFormat="1" applyFont="1" applyFill="1" applyBorder="1" applyAlignment="1">
      <alignment horizontal="center" vertical="center"/>
    </xf>
    <xf numFmtId="0" fontId="32" fillId="19" borderId="33" xfId="0" applyFont="1" applyFill="1" applyBorder="1" applyAlignment="1">
      <alignment vertical="center"/>
    </xf>
    <xf numFmtId="164" fontId="32" fillId="19" borderId="34" xfId="0" applyNumberFormat="1" applyFont="1" applyFill="1" applyBorder="1" applyAlignment="1">
      <alignment horizontal="center" vertical="center"/>
    </xf>
    <xf numFmtId="0" fontId="32" fillId="19" borderId="35" xfId="0" applyFont="1" applyFill="1" applyBorder="1" applyAlignment="1">
      <alignment horizontal="center" vertical="center"/>
    </xf>
    <xf numFmtId="0" fontId="32" fillId="19" borderId="32" xfId="0" applyFont="1" applyFill="1" applyBorder="1" applyAlignment="1">
      <alignment horizontal="center" vertical="center"/>
    </xf>
    <xf numFmtId="10" fontId="33" fillId="21" borderId="43" xfId="0" applyNumberFormat="1" applyFont="1" applyFill="1" applyBorder="1" applyAlignment="1">
      <alignment horizontal="center" vertical="center" wrapText="1"/>
    </xf>
    <xf numFmtId="0" fontId="33" fillId="21" borderId="43" xfId="0" applyFont="1" applyFill="1" applyBorder="1" applyAlignment="1">
      <alignment vertical="center" wrapText="1"/>
    </xf>
    <xf numFmtId="4" fontId="33" fillId="21" borderId="43" xfId="0" applyNumberFormat="1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0" fontId="15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8" fillId="2" borderId="2" xfId="2" applyFont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4" fillId="23" borderId="0" xfId="0" applyFont="1" applyFill="1"/>
    <xf numFmtId="0" fontId="5" fillId="0" borderId="2" xfId="0" applyFont="1" applyBorder="1" applyAlignment="1">
      <alignment horizontal="left" vertical="center"/>
    </xf>
    <xf numFmtId="0" fontId="7" fillId="5" borderId="2" xfId="4" applyFont="1" applyFill="1" applyBorder="1" applyAlignment="1">
      <alignment horizontal="center" vertical="center" wrapText="1"/>
    </xf>
    <xf numFmtId="0" fontId="8" fillId="2" borderId="2" xfId="2" applyFont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wrapText="1"/>
    </xf>
    <xf numFmtId="10" fontId="4" fillId="0" borderId="5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0" fontId="12" fillId="0" borderId="5" xfId="6" applyNumberFormat="1" applyFont="1" applyBorder="1" applyAlignment="1">
      <alignment horizontal="center" vertical="center"/>
    </xf>
    <xf numFmtId="10" fontId="12" fillId="0" borderId="8" xfId="6" applyNumberFormat="1" applyFont="1" applyBorder="1" applyAlignment="1">
      <alignment horizontal="center" vertical="center"/>
    </xf>
    <xf numFmtId="10" fontId="12" fillId="0" borderId="11" xfId="6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0" fontId="4" fillId="10" borderId="5" xfId="0" applyNumberFormat="1" applyFont="1" applyFill="1" applyBorder="1" applyAlignment="1">
      <alignment horizontal="center" vertical="center"/>
    </xf>
    <xf numFmtId="10" fontId="4" fillId="10" borderId="8" xfId="0" applyNumberFormat="1" applyFont="1" applyFill="1" applyBorder="1" applyAlignment="1">
      <alignment horizontal="center" vertical="center"/>
    </xf>
    <xf numFmtId="10" fontId="4" fillId="10" borderId="11" xfId="0" applyNumberFormat="1" applyFont="1" applyFill="1" applyBorder="1" applyAlignment="1">
      <alignment horizontal="center" vertical="center"/>
    </xf>
    <xf numFmtId="164" fontId="10" fillId="0" borderId="5" xfId="5" applyNumberFormat="1" applyBorder="1" applyAlignment="1">
      <alignment horizontal="center" vertical="center"/>
    </xf>
    <xf numFmtId="164" fontId="10" fillId="0" borderId="8" xfId="5" applyNumberFormat="1" applyBorder="1" applyAlignment="1">
      <alignment horizontal="center" vertical="center"/>
    </xf>
    <xf numFmtId="164" fontId="10" fillId="0" borderId="11" xfId="5" applyNumberFormat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5" fillId="0" borderId="2" xfId="0" applyFont="1" applyBorder="1" applyAlignment="1">
      <alignment horizontal="right" vertical="center" wrapText="1"/>
    </xf>
    <xf numFmtId="0" fontId="5" fillId="12" borderId="2" xfId="0" applyFont="1" applyFill="1" applyBorder="1" applyAlignment="1">
      <alignment horizontal="center" vertical="center"/>
    </xf>
    <xf numFmtId="4" fontId="25" fillId="20" borderId="2" xfId="0" applyNumberFormat="1" applyFont="1" applyFill="1" applyBorder="1" applyAlignment="1">
      <alignment horizontal="center" vertical="center" wrapText="1"/>
    </xf>
    <xf numFmtId="0" fontId="25" fillId="20" borderId="2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/>
    </xf>
    <xf numFmtId="0" fontId="28" fillId="0" borderId="40" xfId="0" applyFont="1" applyBorder="1"/>
    <xf numFmtId="0" fontId="28" fillId="0" borderId="42" xfId="0" applyFont="1" applyBorder="1"/>
    <xf numFmtId="0" fontId="19" fillId="0" borderId="24" xfId="0" applyFont="1" applyBorder="1" applyAlignment="1">
      <alignment horizontal="left" vertical="center" wrapText="1"/>
    </xf>
    <xf numFmtId="0" fontId="28" fillId="0" borderId="24" xfId="0" applyFont="1" applyBorder="1"/>
    <xf numFmtId="0" fontId="28" fillId="0" borderId="25" xfId="0" applyFont="1" applyBorder="1"/>
    <xf numFmtId="0" fontId="19" fillId="15" borderId="38" xfId="0" applyFont="1" applyFill="1" applyBorder="1" applyAlignment="1">
      <alignment horizontal="center" vertical="center"/>
    </xf>
    <xf numFmtId="0" fontId="28" fillId="0" borderId="26" xfId="0" applyFont="1" applyBorder="1"/>
    <xf numFmtId="0" fontId="28" fillId="0" borderId="30" xfId="0" applyFont="1" applyBorder="1"/>
    <xf numFmtId="0" fontId="32" fillId="19" borderId="31" xfId="0" applyFont="1" applyFill="1" applyBorder="1" applyAlignment="1">
      <alignment horizontal="center" vertical="center"/>
    </xf>
    <xf numFmtId="0" fontId="28" fillId="0" borderId="31" xfId="0" applyFont="1" applyBorder="1"/>
    <xf numFmtId="0" fontId="28" fillId="0" borderId="32" xfId="0" applyFont="1" applyBorder="1"/>
    <xf numFmtId="0" fontId="33" fillId="21" borderId="35" xfId="0" applyFont="1" applyFill="1" applyBorder="1" applyAlignment="1">
      <alignment horizontal="center" vertical="center" wrapText="1"/>
    </xf>
    <xf numFmtId="0" fontId="33" fillId="21" borderId="44" xfId="0" applyFont="1" applyFill="1" applyBorder="1" applyAlignment="1">
      <alignment horizontal="center" vertical="center" wrapText="1"/>
    </xf>
    <xf numFmtId="0" fontId="28" fillId="0" borderId="45" xfId="0" applyFont="1" applyBorder="1"/>
    <xf numFmtId="0" fontId="24" fillId="19" borderId="31" xfId="0" applyFont="1" applyFill="1" applyBorder="1" applyAlignment="1">
      <alignment horizontal="center" vertical="center"/>
    </xf>
    <xf numFmtId="0" fontId="21" fillId="0" borderId="31" xfId="0" applyFont="1" applyBorder="1"/>
    <xf numFmtId="0" fontId="21" fillId="0" borderId="32" xfId="0" applyFont="1" applyBorder="1"/>
    <xf numFmtId="0" fontId="4" fillId="0" borderId="2" xfId="0" applyFont="1" applyBorder="1" applyAlignment="1">
      <alignment horizontal="center" vertical="center"/>
    </xf>
    <xf numFmtId="0" fontId="20" fillId="14" borderId="18" xfId="0" applyFont="1" applyFill="1" applyBorder="1" applyAlignment="1">
      <alignment horizontal="left" vertical="center" wrapText="1"/>
    </xf>
    <xf numFmtId="0" fontId="21" fillId="14" borderId="18" xfId="0" applyFont="1" applyFill="1" applyBorder="1"/>
    <xf numFmtId="0" fontId="21" fillId="14" borderId="19" xfId="0" applyFont="1" applyFill="1" applyBorder="1"/>
    <xf numFmtId="0" fontId="20" fillId="15" borderId="20" xfId="0" applyFont="1" applyFill="1" applyBorder="1" applyAlignment="1">
      <alignment horizontal="center" vertical="center"/>
    </xf>
    <xf numFmtId="0" fontId="21" fillId="0" borderId="26" xfId="0" applyFont="1" applyBorder="1"/>
    <xf numFmtId="0" fontId="21" fillId="0" borderId="30" xfId="0" applyFont="1" applyBorder="1"/>
    <xf numFmtId="0" fontId="20" fillId="0" borderId="24" xfId="0" applyFont="1" applyBorder="1" applyAlignment="1">
      <alignment horizontal="left" vertical="center" wrapText="1"/>
    </xf>
    <xf numFmtId="0" fontId="21" fillId="0" borderId="24" xfId="0" applyFont="1" applyBorder="1"/>
    <xf numFmtId="0" fontId="21" fillId="0" borderId="25" xfId="0" applyFont="1" applyBorder="1"/>
    <xf numFmtId="0" fontId="8" fillId="6" borderId="8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24" borderId="0" xfId="0" applyFill="1"/>
    <xf numFmtId="0" fontId="0" fillId="25" borderId="0" xfId="0" applyFill="1"/>
    <xf numFmtId="0" fontId="0" fillId="0" borderId="6" xfId="0" applyFill="1" applyBorder="1" applyAlignment="1">
      <alignment vertical="center" wrapText="1"/>
    </xf>
  </cellXfs>
  <cellStyles count="7">
    <cellStyle name="Calcul" xfId="3" builtinId="22"/>
    <cellStyle name="Neutre 2" xfId="4"/>
    <cellStyle name="Normal" xfId="0" builtinId="0"/>
    <cellStyle name="Normal 2" xfId="5"/>
    <cellStyle name="Pourcentage" xfId="1" builtinId="5"/>
    <cellStyle name="Pourcentage 2" xfId="6"/>
    <cellStyle name="Satisfaisant" xfId="2" builtinId="26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01"/>
  <sheetViews>
    <sheetView tabSelected="1" zoomScale="55" zoomScaleNormal="55" workbookViewId="0">
      <selection activeCell="AC24" sqref="AC24"/>
    </sheetView>
  </sheetViews>
  <sheetFormatPr baseColWidth="10" defaultRowHeight="13.8"/>
  <cols>
    <col min="20" max="20" width="65.3984375" customWidth="1"/>
    <col min="21" max="21" width="12.59765625" customWidth="1"/>
    <col min="22" max="22" width="23.69921875" customWidth="1"/>
    <col min="25" max="25" width="19.19921875" customWidth="1"/>
  </cols>
  <sheetData>
    <row r="2" spans="1:18" ht="31.2">
      <c r="A2" s="96"/>
      <c r="B2" s="96"/>
      <c r="C2" s="96"/>
      <c r="D2" s="96"/>
      <c r="E2" s="97" t="s">
        <v>0</v>
      </c>
      <c r="F2" s="98" t="s">
        <v>1</v>
      </c>
      <c r="G2" s="98"/>
      <c r="H2" s="98"/>
      <c r="I2" s="98"/>
      <c r="J2" s="98"/>
      <c r="K2" s="98"/>
      <c r="L2" s="99" t="s">
        <v>2</v>
      </c>
      <c r="M2" s="99"/>
      <c r="N2" s="99"/>
      <c r="O2" s="99"/>
      <c r="P2" s="99"/>
      <c r="Q2" s="1" t="s">
        <v>3</v>
      </c>
      <c r="R2" s="1" t="s">
        <v>4</v>
      </c>
    </row>
    <row r="3" spans="1:18" ht="31.2">
      <c r="A3" s="100" t="s">
        <v>5</v>
      </c>
      <c r="B3" s="100"/>
      <c r="C3" s="100"/>
      <c r="D3" s="100"/>
      <c r="E3" s="97"/>
      <c r="F3" s="2" t="s">
        <v>6</v>
      </c>
      <c r="G3" s="1" t="s">
        <v>7</v>
      </c>
      <c r="H3" s="1" t="s">
        <v>8</v>
      </c>
      <c r="I3" s="3" t="s">
        <v>9</v>
      </c>
      <c r="J3" s="3" t="s">
        <v>10</v>
      </c>
      <c r="K3" s="3" t="s">
        <v>11</v>
      </c>
      <c r="L3" s="4" t="s">
        <v>6</v>
      </c>
      <c r="M3" s="4" t="s">
        <v>12</v>
      </c>
      <c r="N3" s="5" t="s">
        <v>9</v>
      </c>
      <c r="O3" s="5" t="s">
        <v>10</v>
      </c>
      <c r="P3" s="5" t="s">
        <v>11</v>
      </c>
      <c r="Q3" s="6">
        <v>1000</v>
      </c>
      <c r="R3" s="6">
        <v>0</v>
      </c>
    </row>
    <row r="4" spans="1:18" ht="13.8" customHeight="1">
      <c r="A4" s="84"/>
      <c r="B4" s="109" t="s">
        <v>13</v>
      </c>
      <c r="C4" s="110"/>
      <c r="D4" s="7" t="s">
        <v>14</v>
      </c>
      <c r="E4" s="8">
        <v>0.15441557992320731</v>
      </c>
      <c r="F4" s="9">
        <v>0.19409999999999999</v>
      </c>
      <c r="G4" s="10">
        <v>0.15</v>
      </c>
      <c r="H4" s="10">
        <v>0.13</v>
      </c>
      <c r="I4" s="115">
        <v>0.02</v>
      </c>
      <c r="J4" s="11">
        <f>IF(ISBLANK(F4),"",IF(F4&gt;G4,0,IF(F4=G4,0.1,IF(F4&lt;=H4,1,((F4-G4)/(H4-G4))))))</f>
        <v>0</v>
      </c>
      <c r="K4" s="12">
        <f>IF(ISBLANK(F4),"",(I4*Q3)*J4)</f>
        <v>0</v>
      </c>
      <c r="L4" s="13"/>
      <c r="M4" s="14">
        <v>0.06</v>
      </c>
      <c r="N4" s="15">
        <v>0</v>
      </c>
      <c r="O4" s="11" t="str">
        <f>IF(ISBLANK(L4),"",IF(L4&gt;M4,0,1))</f>
        <v/>
      </c>
      <c r="P4" s="12" t="str">
        <f>IF(ISBLANK(L4),"",(N4*#REF!)*O4)</f>
        <v/>
      </c>
      <c r="Q4" s="101"/>
      <c r="R4" s="101"/>
    </row>
    <row r="5" spans="1:18">
      <c r="A5" s="84"/>
      <c r="B5" s="111"/>
      <c r="C5" s="112"/>
      <c r="D5" s="16" t="s">
        <v>15</v>
      </c>
      <c r="E5" s="8">
        <v>0.45013663564979767</v>
      </c>
      <c r="F5" s="9">
        <v>9.6699999999999994E-2</v>
      </c>
      <c r="G5" s="10">
        <v>0.09</v>
      </c>
      <c r="H5" s="10">
        <v>7.0000000000000007E-2</v>
      </c>
      <c r="I5" s="116"/>
      <c r="J5" s="11">
        <f t="shared" ref="J5:J6" si="0">IF(ISBLANK(F5),"",IF(F5&gt;G5,0,IF(F5=G5,0.1,IF(F5&lt;=H5,1,((F5-G5)/(H5-G5))))))</f>
        <v>0</v>
      </c>
      <c r="K5" s="12">
        <f>IF(ISBLANK(F5),"",(I4*Q3)*J5)</f>
        <v>0</v>
      </c>
      <c r="L5" s="13"/>
      <c r="M5" s="14"/>
      <c r="N5" s="15"/>
      <c r="O5" s="11"/>
      <c r="P5" s="12"/>
      <c r="Q5" s="102"/>
      <c r="R5" s="102"/>
    </row>
    <row r="6" spans="1:18">
      <c r="A6" s="85"/>
      <c r="B6" s="113"/>
      <c r="C6" s="114"/>
      <c r="D6" s="16" t="s">
        <v>16</v>
      </c>
      <c r="E6" s="8">
        <v>0.39544778442699507</v>
      </c>
      <c r="F6" s="9">
        <v>0.1116</v>
      </c>
      <c r="G6" s="10">
        <v>0.09</v>
      </c>
      <c r="H6" s="10">
        <v>7.0000000000000007E-2</v>
      </c>
      <c r="I6" s="117"/>
      <c r="J6" s="11">
        <f t="shared" si="0"/>
        <v>0</v>
      </c>
      <c r="K6" s="12">
        <f>IF(ISBLANK(F6),"",(I4*Q3)*J6)</f>
        <v>0</v>
      </c>
      <c r="L6" s="13"/>
      <c r="M6" s="14"/>
      <c r="N6" s="15"/>
      <c r="O6" s="11"/>
      <c r="P6" s="12"/>
      <c r="Q6" s="102"/>
      <c r="R6" s="102"/>
    </row>
    <row r="7" spans="1:18" ht="14.4" customHeight="1">
      <c r="A7" s="85"/>
      <c r="B7" s="104" t="s">
        <v>17</v>
      </c>
      <c r="C7" s="104"/>
      <c r="D7" s="104"/>
      <c r="E7" s="105"/>
      <c r="F7" s="9">
        <v>0.94620000000000004</v>
      </c>
      <c r="G7" s="14">
        <v>0.85</v>
      </c>
      <c r="H7" s="14">
        <v>0.95</v>
      </c>
      <c r="I7" s="17">
        <v>7.0000000000000007E-2</v>
      </c>
      <c r="J7" s="11">
        <f>IF(ISBLANK(F7),"",IF(F7&lt;G7,0,IF(F7=G7,0.1,IF(F7&gt;=H7,1,((F7-G7)/(H7-G7))))))</f>
        <v>0.96200000000000085</v>
      </c>
      <c r="K7" s="12">
        <f>IF(ISBLANK(F7),"",(I7*Q3)*J7)</f>
        <v>67.34000000000006</v>
      </c>
      <c r="L7" s="13"/>
      <c r="M7" s="14">
        <v>0.95</v>
      </c>
      <c r="N7" s="15">
        <v>0</v>
      </c>
      <c r="O7" s="11" t="str">
        <f>IF(ISBLANK(L7),"",IF(L7&lt;M7,0,IF(L7&gt;=M7,1)))</f>
        <v/>
      </c>
      <c r="P7" s="12" t="str">
        <f>IF(ISBLANK(L7),"",(N7*#REF!)*O7)</f>
        <v/>
      </c>
      <c r="Q7" s="102"/>
      <c r="R7" s="102"/>
    </row>
    <row r="8" spans="1:18" ht="14.4" customHeight="1">
      <c r="A8" s="84"/>
      <c r="B8" s="104" t="s">
        <v>18</v>
      </c>
      <c r="C8" s="104"/>
      <c r="D8" s="104"/>
      <c r="E8" s="105"/>
      <c r="F8" s="9">
        <v>0.83509999999999995</v>
      </c>
      <c r="G8" s="10">
        <v>0.83</v>
      </c>
      <c r="H8" s="10">
        <v>0.93</v>
      </c>
      <c r="I8" s="18">
        <v>0.03</v>
      </c>
      <c r="J8" s="11">
        <f>IF(ISBLANK(F8),"",IF(F8&lt;G8,0,IF(F8=G8,0.1,IF(F8&gt;=H8,1,((F8-G8)/(H8-G8))))))</f>
        <v>5.0999999999999886E-2</v>
      </c>
      <c r="K8" s="12">
        <f>IF(ISBLANK(F8),"",(I8*Q3)*J8)</f>
        <v>1.5299999999999965</v>
      </c>
      <c r="L8" s="9"/>
      <c r="M8" s="10">
        <v>0.9</v>
      </c>
      <c r="N8" s="15">
        <v>0.1</v>
      </c>
      <c r="O8" s="11" t="str">
        <f>IF(ISBLANK(L8),"",IF(L8&lt;M8,0,1))</f>
        <v/>
      </c>
      <c r="P8" s="12" t="str">
        <f>IF(ISBLANK(L8),"",(N8*#REF!)*O8)</f>
        <v/>
      </c>
      <c r="Q8" s="102"/>
      <c r="R8" s="102"/>
    </row>
    <row r="9" spans="1:18" ht="14.4" customHeight="1">
      <c r="A9" s="84"/>
      <c r="B9" s="104" t="s">
        <v>19</v>
      </c>
      <c r="C9" s="104"/>
      <c r="D9" s="104"/>
      <c r="E9" s="105"/>
      <c r="F9" s="9">
        <v>0.46460000000000001</v>
      </c>
      <c r="G9" s="10">
        <v>0.35</v>
      </c>
      <c r="H9" s="10">
        <v>0.55000000000000004</v>
      </c>
      <c r="I9" s="18">
        <v>0.03</v>
      </c>
      <c r="J9" s="11">
        <f>IF(ISBLANK(F9),"",IF(F9&lt;G9,0,IF(F9=G9,0.1,IF(F9&gt;=H9,1,((F9-G9)/(H9-G9))))))</f>
        <v>0.57299999999999995</v>
      </c>
      <c r="K9" s="12">
        <f>IF(ISBLANK(F9),"",(I9*Q3)*J9)</f>
        <v>17.189999999999998</v>
      </c>
      <c r="L9" s="9"/>
      <c r="M9" s="10">
        <v>0.4</v>
      </c>
      <c r="N9" s="15">
        <v>0.1</v>
      </c>
      <c r="O9" s="11" t="str">
        <f>IF(ISBLANK(L9),"",IF(L9&lt;M9,0,IF(L9&gt;=M9,1)))</f>
        <v/>
      </c>
      <c r="P9" s="12" t="str">
        <f>IF(ISBLANK(L9),"",(N9*#REF!)*O9)</f>
        <v/>
      </c>
      <c r="Q9" s="102"/>
      <c r="R9" s="102"/>
    </row>
    <row r="10" spans="1:18" ht="14.4" customHeight="1">
      <c r="A10" s="84"/>
      <c r="B10" s="104" t="s">
        <v>20</v>
      </c>
      <c r="C10" s="104"/>
      <c r="D10" s="104"/>
      <c r="E10" s="105"/>
      <c r="F10" s="9">
        <v>3.5799999999999998E-2</v>
      </c>
      <c r="G10" s="10">
        <v>0.03</v>
      </c>
      <c r="H10" s="19">
        <v>1.2E-2</v>
      </c>
      <c r="I10" s="18">
        <v>0</v>
      </c>
      <c r="J10" s="11">
        <f>IF(ISBLANK(F10),"",IF(F10&gt;G10,0,IF(F10=G10,0.1,IF(F10&lt;=H10,1,((F10-G10)/(H10-G10))))))</f>
        <v>0</v>
      </c>
      <c r="K10" s="12">
        <f>IF(ISBLANK(F10),"",(I10*Q3)*J10)</f>
        <v>0</v>
      </c>
      <c r="L10" s="9"/>
      <c r="M10" s="19">
        <v>0.02</v>
      </c>
      <c r="N10" s="15">
        <v>0.1</v>
      </c>
      <c r="O10" s="11" t="str">
        <f>IF(ISBLANK(L10),"",IF(L10&gt;M10,0,1))</f>
        <v/>
      </c>
      <c r="P10" s="12" t="str">
        <f>IF(ISBLANK(L10),"",(N10*#REF!)*O10)</f>
        <v/>
      </c>
      <c r="Q10" s="102"/>
      <c r="R10" s="102"/>
    </row>
    <row r="11" spans="1:18" ht="39" customHeight="1">
      <c r="A11" s="84"/>
      <c r="B11" s="104" t="s">
        <v>21</v>
      </c>
      <c r="C11" s="104" t="s">
        <v>22</v>
      </c>
      <c r="D11" s="20" t="s">
        <v>23</v>
      </c>
      <c r="E11" s="8">
        <v>0.11</v>
      </c>
      <c r="F11" s="9">
        <v>0.9456</v>
      </c>
      <c r="G11" s="14">
        <v>0.93</v>
      </c>
      <c r="H11" s="14">
        <v>0.98</v>
      </c>
      <c r="I11" s="106">
        <v>0.15</v>
      </c>
      <c r="J11" s="11">
        <f t="shared" ref="J11:J22" si="1">IF(ISBLANK(F11),"",IF(F11&lt;G11,0,IF(F11=G11,(0.1*E11),IF(F11&gt;=H11,(1*E11),(((F11-G11)/(H11-G11))*E11)))))</f>
        <v>3.4319999999999927E-2</v>
      </c>
      <c r="K11" s="118">
        <f>IF(ISBLANK(F11),"",(I11*Q3)*((J11+J12+J13+J14+J15+J16+J17+J18+J19)))</f>
        <v>60.671267554112596</v>
      </c>
      <c r="L11" s="13"/>
      <c r="M11" s="14">
        <v>0.96</v>
      </c>
      <c r="N11" s="121">
        <v>0.1</v>
      </c>
      <c r="O11" s="11" t="str">
        <f t="shared" ref="O11:O22" si="2">IF(ISBLANK(L11),"",IF(L11&lt;M11,0,(1*E11)))</f>
        <v/>
      </c>
      <c r="P11" s="124" t="str">
        <f>IF(ISBLANK(L11),"",(N11*R3)*((O19+O11+O12+O13+O14+O15+O16+O17+O18)))</f>
        <v/>
      </c>
      <c r="Q11" s="102"/>
      <c r="R11" s="102"/>
    </row>
    <row r="12" spans="1:18">
      <c r="A12" s="84" t="s">
        <v>24</v>
      </c>
      <c r="B12" s="104"/>
      <c r="C12" s="104"/>
      <c r="D12" s="20" t="s">
        <v>25</v>
      </c>
      <c r="E12" s="8">
        <v>0.13250000000000001</v>
      </c>
      <c r="F12" s="9">
        <v>0.92910000000000004</v>
      </c>
      <c r="G12" s="14">
        <v>0.9</v>
      </c>
      <c r="H12" s="14">
        <v>0.96</v>
      </c>
      <c r="I12" s="107"/>
      <c r="J12" s="11">
        <f t="shared" si="1"/>
        <v>6.4262500000000097E-2</v>
      </c>
      <c r="K12" s="119"/>
      <c r="L12" s="13"/>
      <c r="M12" s="14">
        <v>0.92</v>
      </c>
      <c r="N12" s="122"/>
      <c r="O12" s="11" t="str">
        <f t="shared" si="2"/>
        <v/>
      </c>
      <c r="P12" s="125"/>
      <c r="Q12" s="102"/>
      <c r="R12" s="102"/>
    </row>
    <row r="13" spans="1:18">
      <c r="A13" s="84"/>
      <c r="B13" s="104"/>
      <c r="C13" s="104"/>
      <c r="D13" s="20" t="s">
        <v>26</v>
      </c>
      <c r="E13" s="8">
        <v>0.1447</v>
      </c>
      <c r="F13" s="9">
        <v>0.90490000000000004</v>
      </c>
      <c r="G13" s="14">
        <v>0.86</v>
      </c>
      <c r="H13" s="14">
        <v>0.95</v>
      </c>
      <c r="I13" s="107"/>
      <c r="J13" s="11">
        <f t="shared" si="1"/>
        <v>7.2189222222222321E-2</v>
      </c>
      <c r="K13" s="119"/>
      <c r="L13" s="13"/>
      <c r="M13" s="14">
        <v>0.88</v>
      </c>
      <c r="N13" s="122"/>
      <c r="O13" s="11" t="str">
        <f t="shared" si="2"/>
        <v/>
      </c>
      <c r="P13" s="125"/>
      <c r="Q13" s="102"/>
      <c r="R13" s="102"/>
    </row>
    <row r="14" spans="1:18" ht="13.8" customHeight="1">
      <c r="A14" s="84"/>
      <c r="B14" s="104"/>
      <c r="C14" s="104" t="s">
        <v>27</v>
      </c>
      <c r="D14" s="20" t="s">
        <v>23</v>
      </c>
      <c r="E14" s="8">
        <v>0.1321</v>
      </c>
      <c r="F14" s="9">
        <v>0.87560000000000004</v>
      </c>
      <c r="G14" s="14">
        <v>0.84</v>
      </c>
      <c r="H14" s="14">
        <v>0.91</v>
      </c>
      <c r="I14" s="107"/>
      <c r="J14" s="11">
        <f t="shared" si="1"/>
        <v>6.7182285714285805E-2</v>
      </c>
      <c r="K14" s="119"/>
      <c r="L14" s="13"/>
      <c r="M14" s="14">
        <v>0.87</v>
      </c>
      <c r="N14" s="122"/>
      <c r="O14" s="11" t="str">
        <f t="shared" si="2"/>
        <v/>
      </c>
      <c r="P14" s="125"/>
      <c r="Q14" s="102"/>
      <c r="R14" s="102"/>
    </row>
    <row r="15" spans="1:18">
      <c r="A15" s="84"/>
      <c r="B15" s="104"/>
      <c r="C15" s="104"/>
      <c r="D15" s="20" t="s">
        <v>25</v>
      </c>
      <c r="E15" s="8">
        <v>8.09E-2</v>
      </c>
      <c r="F15" s="9">
        <v>0.80500000000000005</v>
      </c>
      <c r="G15" s="14">
        <v>0.77</v>
      </c>
      <c r="H15" s="14">
        <v>0.88</v>
      </c>
      <c r="I15" s="107"/>
      <c r="J15" s="11">
        <f t="shared" si="1"/>
        <v>2.5740909090909116E-2</v>
      </c>
      <c r="K15" s="119"/>
      <c r="L15" s="13"/>
      <c r="M15" s="14">
        <v>0.79</v>
      </c>
      <c r="N15" s="122"/>
      <c r="O15" s="11" t="str">
        <f t="shared" si="2"/>
        <v/>
      </c>
      <c r="P15" s="125"/>
      <c r="Q15" s="102"/>
      <c r="R15" s="102"/>
    </row>
    <row r="16" spans="1:18">
      <c r="A16" s="84"/>
      <c r="B16" s="104"/>
      <c r="C16" s="104"/>
      <c r="D16" s="20" t="s">
        <v>26</v>
      </c>
      <c r="E16" s="8">
        <v>0.1108</v>
      </c>
      <c r="F16" s="9">
        <v>0.79500000000000004</v>
      </c>
      <c r="G16" s="14">
        <v>0.76</v>
      </c>
      <c r="H16" s="14">
        <v>0.83</v>
      </c>
      <c r="I16" s="107"/>
      <c r="J16" s="11">
        <f t="shared" si="1"/>
        <v>5.5400000000000081E-2</v>
      </c>
      <c r="K16" s="119"/>
      <c r="L16" s="13"/>
      <c r="M16" s="14">
        <v>0.78</v>
      </c>
      <c r="N16" s="122"/>
      <c r="O16" s="11" t="str">
        <f t="shared" si="2"/>
        <v/>
      </c>
      <c r="P16" s="125"/>
      <c r="Q16" s="102"/>
      <c r="R16" s="102"/>
    </row>
    <row r="17" spans="1:18" ht="13.8" customHeight="1">
      <c r="A17" s="84"/>
      <c r="B17" s="104"/>
      <c r="C17" s="104" t="s">
        <v>28</v>
      </c>
      <c r="D17" s="20" t="s">
        <v>23</v>
      </c>
      <c r="E17" s="8">
        <v>7.4700000000000003E-2</v>
      </c>
      <c r="F17" s="9">
        <v>0.77680000000000005</v>
      </c>
      <c r="G17" s="14">
        <v>0.78</v>
      </c>
      <c r="H17" s="14">
        <v>0.86</v>
      </c>
      <c r="I17" s="107"/>
      <c r="J17" s="11">
        <f t="shared" si="1"/>
        <v>0</v>
      </c>
      <c r="K17" s="119"/>
      <c r="L17" s="13"/>
      <c r="M17" s="14">
        <v>0.81</v>
      </c>
      <c r="N17" s="122"/>
      <c r="O17" s="11" t="str">
        <f t="shared" si="2"/>
        <v/>
      </c>
      <c r="P17" s="125"/>
      <c r="Q17" s="102"/>
      <c r="R17" s="102"/>
    </row>
    <row r="18" spans="1:18">
      <c r="A18" s="84"/>
      <c r="B18" s="104"/>
      <c r="C18" s="104"/>
      <c r="D18" s="20" t="s">
        <v>25</v>
      </c>
      <c r="E18" s="8">
        <v>0.1031</v>
      </c>
      <c r="F18" s="9">
        <v>0.76859999999999995</v>
      </c>
      <c r="G18" s="14">
        <v>0.74</v>
      </c>
      <c r="H18" s="14">
        <v>0.84</v>
      </c>
      <c r="I18" s="107"/>
      <c r="J18" s="11">
        <f t="shared" si="1"/>
        <v>2.9486599999999964E-2</v>
      </c>
      <c r="K18" s="119"/>
      <c r="L18" s="13"/>
      <c r="M18" s="14">
        <v>0.76</v>
      </c>
      <c r="N18" s="122"/>
      <c r="O18" s="11" t="str">
        <f t="shared" si="2"/>
        <v/>
      </c>
      <c r="P18" s="125"/>
      <c r="Q18" s="102"/>
      <c r="R18" s="102"/>
    </row>
    <row r="19" spans="1:18">
      <c r="A19" s="84"/>
      <c r="B19" s="104"/>
      <c r="C19" s="104"/>
      <c r="D19" s="20" t="s">
        <v>26</v>
      </c>
      <c r="E19" s="8">
        <v>0.1109</v>
      </c>
      <c r="F19" s="9">
        <v>0.73040000000000005</v>
      </c>
      <c r="G19" s="14">
        <v>0.68</v>
      </c>
      <c r="H19" s="14">
        <v>0.78</v>
      </c>
      <c r="I19" s="108"/>
      <c r="J19" s="11">
        <f t="shared" si="1"/>
        <v>5.5893600000000009E-2</v>
      </c>
      <c r="K19" s="120"/>
      <c r="L19" s="13"/>
      <c r="M19" s="14">
        <v>0.7</v>
      </c>
      <c r="N19" s="123"/>
      <c r="O19" s="11" t="str">
        <f t="shared" si="2"/>
        <v/>
      </c>
      <c r="P19" s="126"/>
      <c r="Q19" s="102"/>
      <c r="R19" s="102"/>
    </row>
    <row r="20" spans="1:18" ht="61.8" customHeight="1">
      <c r="A20" s="84"/>
      <c r="B20" s="104" t="s">
        <v>29</v>
      </c>
      <c r="C20" s="131" t="s">
        <v>23</v>
      </c>
      <c r="D20" s="131"/>
      <c r="E20" s="8">
        <v>0.24629999999999999</v>
      </c>
      <c r="F20" s="9">
        <v>0.66339999999999999</v>
      </c>
      <c r="G20" s="14">
        <v>0.67</v>
      </c>
      <c r="H20" s="14">
        <v>0.72</v>
      </c>
      <c r="I20" s="106">
        <v>0.2</v>
      </c>
      <c r="J20" s="11">
        <f t="shared" si="1"/>
        <v>0</v>
      </c>
      <c r="K20" s="118">
        <f>IF(ISBLANK(F20),"",(I20*Q3)*(J20+J21+J22))</f>
        <v>68.723853333333352</v>
      </c>
      <c r="L20" s="13"/>
      <c r="M20" s="14">
        <v>0.7</v>
      </c>
      <c r="N20" s="121">
        <v>0.2</v>
      </c>
      <c r="O20" s="11" t="str">
        <f>IF(ISBLANK(L20),"",IF(L20&lt;M20,0,(1*E20)))</f>
        <v/>
      </c>
      <c r="P20" s="118" t="str">
        <f>IF(ISBLANK(L20),"",(N20*#REF!)*(O20+O21+O22))</f>
        <v/>
      </c>
      <c r="Q20" s="102"/>
      <c r="R20" s="102"/>
    </row>
    <row r="21" spans="1:18">
      <c r="A21" s="84"/>
      <c r="B21" s="104"/>
      <c r="C21" s="131" t="s">
        <v>25</v>
      </c>
      <c r="D21" s="131"/>
      <c r="E21" s="8">
        <v>0.30320000000000003</v>
      </c>
      <c r="F21" s="9">
        <v>0.63590000000000002</v>
      </c>
      <c r="G21" s="14">
        <v>0.63</v>
      </c>
      <c r="H21" s="14">
        <v>0.68</v>
      </c>
      <c r="I21" s="107"/>
      <c r="J21" s="11">
        <f t="shared" si="1"/>
        <v>3.5777600000000069E-2</v>
      </c>
      <c r="K21" s="119"/>
      <c r="L21" s="13"/>
      <c r="M21" s="14">
        <v>0.66</v>
      </c>
      <c r="N21" s="122"/>
      <c r="O21" s="11" t="str">
        <f t="shared" si="2"/>
        <v/>
      </c>
      <c r="P21" s="119"/>
      <c r="Q21" s="102"/>
      <c r="R21" s="102"/>
    </row>
    <row r="22" spans="1:18">
      <c r="A22" s="84"/>
      <c r="B22" s="104"/>
      <c r="C22" s="131" t="s">
        <v>26</v>
      </c>
      <c r="D22" s="131"/>
      <c r="E22" s="8">
        <v>0.45050000000000001</v>
      </c>
      <c r="F22" s="9">
        <v>0.61099999999999999</v>
      </c>
      <c r="G22" s="14">
        <v>0.56999999999999995</v>
      </c>
      <c r="H22" s="14">
        <v>0.63</v>
      </c>
      <c r="I22" s="108"/>
      <c r="J22" s="11">
        <f t="shared" si="1"/>
        <v>0.30784166666666668</v>
      </c>
      <c r="K22" s="120"/>
      <c r="L22" s="13"/>
      <c r="M22" s="14">
        <v>0.59</v>
      </c>
      <c r="N22" s="123"/>
      <c r="O22" s="11" t="str">
        <f t="shared" si="2"/>
        <v/>
      </c>
      <c r="P22" s="120"/>
      <c r="Q22" s="102"/>
      <c r="R22" s="102"/>
    </row>
    <row r="23" spans="1:18" ht="16.8">
      <c r="A23" s="84"/>
      <c r="B23" s="132" t="s">
        <v>30</v>
      </c>
      <c r="C23" s="132"/>
      <c r="D23" s="132"/>
      <c r="E23" s="132"/>
      <c r="F23" s="132"/>
      <c r="G23" s="132"/>
      <c r="H23" s="132"/>
      <c r="I23" s="21">
        <f>SUM(I4:I22)</f>
        <v>0.5</v>
      </c>
      <c r="J23" s="22"/>
      <c r="K23" s="23">
        <f>SUM(K7:K22)</f>
        <v>215.45512088744601</v>
      </c>
      <c r="L23" s="132"/>
      <c r="M23" s="132"/>
      <c r="N23" s="21">
        <f>SUM(N7:N21)</f>
        <v>0.60000000000000009</v>
      </c>
      <c r="O23" s="22"/>
      <c r="P23" s="23">
        <f>SUM(P7:P21)</f>
        <v>0</v>
      </c>
      <c r="Q23" s="102"/>
      <c r="R23" s="102"/>
    </row>
    <row r="24" spans="1:18" ht="14.4">
      <c r="A24" s="127" t="s">
        <v>31</v>
      </c>
      <c r="B24" s="128" t="s">
        <v>32</v>
      </c>
      <c r="C24" s="129"/>
      <c r="D24" s="129"/>
      <c r="E24" s="130"/>
      <c r="F24" s="24">
        <v>0.752</v>
      </c>
      <c r="G24" s="25">
        <v>0.78</v>
      </c>
      <c r="H24" s="25">
        <v>0.86</v>
      </c>
      <c r="I24" s="26"/>
      <c r="J24" s="11">
        <f>IF(ISBLANK(F24),"",IF(F24&lt;G24,0,IF(F24=G24,0.1,IF(F24&gt;=H24,1,((F24-G24)/(H24-G24))))))</f>
        <v>0</v>
      </c>
      <c r="K24" s="12">
        <f>IF(ISBLANK(F24),"",(I24*Q3)*J24)</f>
        <v>0</v>
      </c>
      <c r="L24" s="13"/>
      <c r="M24" s="25">
        <v>0.86</v>
      </c>
      <c r="N24" s="26">
        <v>0</v>
      </c>
      <c r="O24" s="11" t="str">
        <f>IF(ISBLANK(L24),"",IF(L24&lt;M24,0,1))</f>
        <v/>
      </c>
      <c r="P24" s="12" t="str">
        <f>IF(ISBLANK(L24),"",(N24*#REF!)*O24)</f>
        <v/>
      </c>
      <c r="Q24" s="102"/>
      <c r="R24" s="102"/>
    </row>
    <row r="25" spans="1:18" ht="14.4">
      <c r="A25" s="127"/>
      <c r="B25" s="128" t="s">
        <v>33</v>
      </c>
      <c r="C25" s="129"/>
      <c r="D25" s="129"/>
      <c r="E25" s="130"/>
      <c r="F25" s="24">
        <v>0.92500000000000004</v>
      </c>
      <c r="G25" s="25">
        <v>0.91</v>
      </c>
      <c r="H25" s="25">
        <v>0.96</v>
      </c>
      <c r="I25" s="26"/>
      <c r="J25" s="11">
        <f>IF(ISBLANK(F25),"",IF(F25&lt;G25,0,IF(F25=G25,0.1,IF(F25&gt;=H25,1,((F25-G25)/(H25-G25))))))</f>
        <v>0.30000000000000066</v>
      </c>
      <c r="K25" s="12">
        <f>IF(ISBLANK(F25),"",(I25*$Q3)*J25)</f>
        <v>0</v>
      </c>
      <c r="L25" s="13"/>
      <c r="M25" s="25">
        <v>0.96</v>
      </c>
      <c r="N25" s="26">
        <v>0</v>
      </c>
      <c r="O25" s="11" t="str">
        <f t="shared" ref="O25" si="3">IF(ISBLANK(L25),"",IF(L25&lt;M25,0,1))</f>
        <v/>
      </c>
      <c r="P25" s="12" t="str">
        <f>IF(ISBLANK(L25),"",(N25*#REF!)*O25)</f>
        <v/>
      </c>
      <c r="Q25" s="102"/>
      <c r="R25" s="102"/>
    </row>
    <row r="26" spans="1:18" ht="14.4">
      <c r="A26" s="127"/>
      <c r="B26" s="128" t="s">
        <v>34</v>
      </c>
      <c r="C26" s="129"/>
      <c r="D26" s="129"/>
      <c r="E26" s="130"/>
      <c r="F26" s="27">
        <v>3.7999999999999999E-2</v>
      </c>
      <c r="G26" s="28">
        <v>0.04</v>
      </c>
      <c r="H26" s="25">
        <v>0</v>
      </c>
      <c r="I26" s="26"/>
      <c r="J26" s="11">
        <f>IF(ISBLANK(F26),"",IF(F26&gt;G26,0,IF(F26=G26,0.1,IF(F26&lt;=H26,1,((F26-G26)/(H26-G26))))))</f>
        <v>5.0000000000000044E-2</v>
      </c>
      <c r="K26" s="12">
        <f>IF(ISBLANK(F26),"",(I26*$Q3)*J26)</f>
        <v>0</v>
      </c>
      <c r="L26" s="9"/>
      <c r="M26" s="25">
        <v>0.01</v>
      </c>
      <c r="N26" s="26">
        <v>0</v>
      </c>
      <c r="O26" s="11" t="str">
        <f>IF(ISBLANK(L26),"",IF(L26&gt;M26,0,1))</f>
        <v/>
      </c>
      <c r="P26" s="12" t="str">
        <f>IF(ISBLANK(L26),"",(N26*#REF!)*O26)</f>
        <v/>
      </c>
      <c r="Q26" s="102"/>
      <c r="R26" s="102"/>
    </row>
    <row r="27" spans="1:18" ht="14.4">
      <c r="A27" s="127"/>
      <c r="B27" s="128" t="s">
        <v>35</v>
      </c>
      <c r="C27" s="129"/>
      <c r="D27" s="129"/>
      <c r="E27" s="130"/>
      <c r="F27" s="29">
        <v>1.81</v>
      </c>
      <c r="G27" s="30">
        <v>3</v>
      </c>
      <c r="H27" s="30">
        <v>1</v>
      </c>
      <c r="I27" s="26"/>
      <c r="J27" s="11">
        <f>IF(ISBLANK(F27),"",IF(F27&gt;G27,0,IF(F27=G27,0.1,IF(F27&lt;=H27,1,((F27-G27)/(H27-G27))))))</f>
        <v>0.59499999999999997</v>
      </c>
      <c r="K27" s="12">
        <f>IF(ISBLANK(F27),"",(I27*Q4)*J27)</f>
        <v>0</v>
      </c>
      <c r="L27" s="31"/>
      <c r="M27" s="30">
        <v>1</v>
      </c>
      <c r="N27" s="32">
        <v>0</v>
      </c>
      <c r="O27" s="11" t="str">
        <f>IF(ISBLANK(L27),"",IF(L27&gt;M27,0,1))</f>
        <v/>
      </c>
      <c r="P27" s="12" t="str">
        <f>IF(ISBLANK(L27),"",(N27*#REF!)*O27)</f>
        <v/>
      </c>
      <c r="Q27" s="102"/>
      <c r="R27" s="102"/>
    </row>
    <row r="28" spans="1:18" ht="14.4">
      <c r="A28" s="127"/>
      <c r="B28" s="128" t="s">
        <v>36</v>
      </c>
      <c r="C28" s="129"/>
      <c r="D28" s="129"/>
      <c r="E28" s="130"/>
      <c r="F28" s="27">
        <v>9.4E-2</v>
      </c>
      <c r="G28" s="33">
        <v>0.15</v>
      </c>
      <c r="H28" s="25">
        <v>0.05</v>
      </c>
      <c r="I28" s="26"/>
      <c r="J28" s="11">
        <f>IF(ISBLANK(F28),"",IF(F28&gt;G28,0,IF(F28=G28,0.1,IF(F28&lt;=H28,1,((F28-G28)/(H28-G28))))))</f>
        <v>0.55999999999999994</v>
      </c>
      <c r="K28" s="12">
        <f>IF(ISBLANK(F28),"",(I28*Q3)*J28)</f>
        <v>0</v>
      </c>
      <c r="L28" s="13"/>
      <c r="M28" s="25">
        <v>0.05</v>
      </c>
      <c r="N28" s="34">
        <v>0.1</v>
      </c>
      <c r="O28" s="11" t="str">
        <f>IF(ISBLANK(L28),"",IF(L28&gt;M28,0,1))</f>
        <v/>
      </c>
      <c r="P28" s="12" t="str">
        <f>IF(ISBLANK(L28),"",(N28*#REF!)*O28)</f>
        <v/>
      </c>
      <c r="Q28" s="102"/>
      <c r="R28" s="102"/>
    </row>
    <row r="29" spans="1:18" ht="14.4">
      <c r="A29" s="127"/>
      <c r="B29" s="128" t="s">
        <v>37</v>
      </c>
      <c r="C29" s="129"/>
      <c r="D29" s="129"/>
      <c r="E29" s="130"/>
      <c r="F29" s="24">
        <v>3.6799999999999999E-2</v>
      </c>
      <c r="G29" s="33">
        <v>0.05</v>
      </c>
      <c r="H29" s="25">
        <v>0.01</v>
      </c>
      <c r="I29" s="26"/>
      <c r="J29" s="11">
        <f>IF(ISBLANK(F29),"",IF(F29&gt;G29,0,IF(F29=G29,0.1,IF(F29&lt;=H29,1,((F29-G29)/(H29-G29))))))</f>
        <v>0.33000000000000007</v>
      </c>
      <c r="K29" s="12">
        <f>IF(ISBLANK(F29),"",(I29*Q3)*J29)</f>
        <v>0</v>
      </c>
      <c r="L29" s="13"/>
      <c r="M29" s="25">
        <v>0.01</v>
      </c>
      <c r="N29" s="34">
        <v>0.1</v>
      </c>
      <c r="O29" s="11" t="str">
        <f t="shared" ref="O29" si="4">IF(ISBLANK(L29),"",IF(L29&lt;G29,0,1))</f>
        <v/>
      </c>
      <c r="P29" s="12" t="str">
        <f>IF(ISBLANK(L29),"",(N29*#REF!)*O29)</f>
        <v/>
      </c>
      <c r="Q29" s="102"/>
      <c r="R29" s="102"/>
    </row>
    <row r="30" spans="1:18" ht="14.4">
      <c r="A30" s="127"/>
      <c r="B30" s="128" t="s">
        <v>38</v>
      </c>
      <c r="C30" s="129"/>
      <c r="D30" s="129"/>
      <c r="E30" s="130"/>
      <c r="F30" s="35">
        <v>2.56</v>
      </c>
      <c r="G30" s="30">
        <v>9</v>
      </c>
      <c r="H30" s="30">
        <v>3</v>
      </c>
      <c r="I30" s="26"/>
      <c r="J30" s="11">
        <f>IF(ISBLANK(F30),"",IF(F30&gt;G30,0,IF(F30=G30,0.1,IF(F30&lt;=H30,1,((F30-G30)/(H30-G30))))))</f>
        <v>1</v>
      </c>
      <c r="K30" s="12">
        <f>IF(ISBLANK(F30),"",(I30*Q4)*J30)</f>
        <v>0</v>
      </c>
      <c r="L30" s="31"/>
      <c r="M30" s="30">
        <v>3</v>
      </c>
      <c r="N30" s="26">
        <v>0</v>
      </c>
      <c r="O30" s="11" t="str">
        <f>IF(ISBLANK(L30),"",IF(L30&gt;M30,0,1))</f>
        <v/>
      </c>
      <c r="P30" s="12" t="str">
        <f>IF(ISBLANK(L30),"",(N30*#REF!)*O30)</f>
        <v/>
      </c>
      <c r="Q30" s="102"/>
      <c r="R30" s="102"/>
    </row>
    <row r="31" spans="1:18" ht="17.399999999999999" thickBot="1">
      <c r="A31" s="127"/>
      <c r="B31" s="132" t="s">
        <v>39</v>
      </c>
      <c r="C31" s="132"/>
      <c r="D31" s="132"/>
      <c r="E31" s="132"/>
      <c r="F31" s="132"/>
      <c r="G31" s="132"/>
      <c r="H31" s="132"/>
      <c r="I31" s="21">
        <f>SUM(I24:I30)</f>
        <v>0</v>
      </c>
      <c r="J31" s="22"/>
      <c r="K31" s="23">
        <f>SUM(K24:K30)</f>
        <v>0</v>
      </c>
      <c r="L31" s="132"/>
      <c r="M31" s="132"/>
      <c r="N31" s="21">
        <f>SUM(N24:N30)</f>
        <v>0.2</v>
      </c>
      <c r="O31" s="22"/>
      <c r="P31" s="23">
        <f>SUM(P24:P30)</f>
        <v>0</v>
      </c>
      <c r="Q31" s="102"/>
      <c r="R31" s="102"/>
    </row>
    <row r="32" spans="1:18" ht="15" thickBot="1">
      <c r="A32" s="153" t="s">
        <v>40</v>
      </c>
      <c r="B32" s="154" t="s">
        <v>41</v>
      </c>
      <c r="C32" s="155"/>
      <c r="D32" s="156"/>
      <c r="E32" s="157"/>
      <c r="F32" s="36"/>
      <c r="G32" s="37">
        <v>0.9</v>
      </c>
      <c r="H32" s="37">
        <v>1</v>
      </c>
      <c r="I32" s="38">
        <v>0.2</v>
      </c>
      <c r="J32" s="39" t="str">
        <f t="shared" ref="J32:J34" si="5">IF(ISBLANK(F32),"",IF(F32&lt;G32,0,IF(F32=G32,0.1,IF(F32&gt;=H32,1,((F32-G32)/(H32-G32))))))</f>
        <v/>
      </c>
      <c r="K32" s="40" t="str">
        <f>IF(ISBLANK(F32),"",(I32*Q3)*J32)</f>
        <v/>
      </c>
      <c r="L32" s="41"/>
      <c r="M32" s="37">
        <v>0.4</v>
      </c>
      <c r="N32" s="38">
        <v>0</v>
      </c>
      <c r="O32" s="39" t="str">
        <f t="shared" ref="O32:O34" si="6">IF(ISBLANK(L32),"",IF(L32&lt;M32,0,IF(L32&gt;=M32,1)))</f>
        <v/>
      </c>
      <c r="P32" s="40" t="str">
        <f>IF(ISBLANK(L32),"",(N32*#REF!)*O32)</f>
        <v/>
      </c>
      <c r="Q32" s="102"/>
      <c r="R32" s="102"/>
    </row>
    <row r="33" spans="1:18" ht="15" thickBot="1">
      <c r="A33" s="153"/>
      <c r="B33" s="160" t="s">
        <v>42</v>
      </c>
      <c r="C33" s="161"/>
      <c r="D33" s="162"/>
      <c r="E33" s="158"/>
      <c r="F33" s="42"/>
      <c r="G33" s="43">
        <v>90</v>
      </c>
      <c r="H33" s="43">
        <v>98</v>
      </c>
      <c r="I33" s="44">
        <v>0.1</v>
      </c>
      <c r="J33" s="45" t="str">
        <f t="shared" si="5"/>
        <v/>
      </c>
      <c r="K33" s="40" t="str">
        <f>IF(ISBLANK(F33),"",(I33*Q3)*J33)</f>
        <v/>
      </c>
      <c r="L33" s="46"/>
      <c r="M33" s="47">
        <v>0.6</v>
      </c>
      <c r="N33" s="44">
        <v>0</v>
      </c>
      <c r="O33" s="17" t="str">
        <f t="shared" si="6"/>
        <v/>
      </c>
      <c r="P33" s="48" t="str">
        <f>IF(ISBLANK(L33),"",(N33*#REF!)*O33)</f>
        <v/>
      </c>
      <c r="Q33" s="102"/>
      <c r="R33" s="102"/>
    </row>
    <row r="34" spans="1:18" ht="14.4">
      <c r="A34" s="153"/>
      <c r="B34" s="160" t="s">
        <v>43</v>
      </c>
      <c r="C34" s="161"/>
      <c r="D34" s="162"/>
      <c r="E34" s="159"/>
      <c r="F34" s="42"/>
      <c r="G34" s="43">
        <v>17</v>
      </c>
      <c r="H34" s="43">
        <v>20</v>
      </c>
      <c r="I34" s="44">
        <v>0.2</v>
      </c>
      <c r="J34" s="45" t="str">
        <f t="shared" si="5"/>
        <v/>
      </c>
      <c r="K34" s="40" t="str">
        <f>IF(ISBLANK(F34),"",(I34*Q3)*J34)</f>
        <v/>
      </c>
      <c r="L34" s="49"/>
      <c r="M34" s="43">
        <v>10</v>
      </c>
      <c r="N34" s="44">
        <v>0</v>
      </c>
      <c r="O34" s="17" t="str">
        <f t="shared" si="6"/>
        <v/>
      </c>
      <c r="P34" s="48" t="str">
        <f>IF(ISBLANK(L34),"",(N34*#REF!)*O34)</f>
        <v/>
      </c>
      <c r="Q34" s="102"/>
      <c r="R34" s="102"/>
    </row>
    <row r="35" spans="1:18" ht="18" thickBot="1">
      <c r="A35" s="153"/>
      <c r="B35" s="150" t="s">
        <v>44</v>
      </c>
      <c r="C35" s="151"/>
      <c r="D35" s="151"/>
      <c r="E35" s="151"/>
      <c r="F35" s="151"/>
      <c r="G35" s="151"/>
      <c r="H35" s="152"/>
      <c r="I35" s="50">
        <f>SUM(I32:I34)</f>
        <v>0.5</v>
      </c>
      <c r="J35" s="51"/>
      <c r="K35" s="52">
        <f>SUM(K32:K34)</f>
        <v>0</v>
      </c>
      <c r="L35" s="53"/>
      <c r="M35" s="54"/>
      <c r="N35" s="50">
        <f>SUM(N32:N34)</f>
        <v>0</v>
      </c>
      <c r="O35" s="51"/>
      <c r="P35" s="55">
        <f>SUM(P32:P34)</f>
        <v>0</v>
      </c>
      <c r="Q35" s="103"/>
      <c r="R35" s="103"/>
    </row>
    <row r="36" spans="1:18" ht="15.6">
      <c r="A36" s="134" t="s">
        <v>45</v>
      </c>
      <c r="B36" s="134"/>
      <c r="C36" s="134"/>
      <c r="D36" s="134"/>
      <c r="E36" s="134"/>
      <c r="F36" s="134"/>
      <c r="G36" s="134"/>
      <c r="H36" s="134"/>
      <c r="I36" s="56">
        <f>I31+I23+I35</f>
        <v>1</v>
      </c>
      <c r="J36" s="57"/>
      <c r="K36" s="58">
        <f>K31+K23+K35</f>
        <v>215.45512088744601</v>
      </c>
      <c r="L36" s="134"/>
      <c r="M36" s="134"/>
      <c r="N36" s="56">
        <f>N31+N23+N35</f>
        <v>0.8</v>
      </c>
      <c r="O36" s="57"/>
      <c r="P36" s="58">
        <f>P31+P23+P35</f>
        <v>0</v>
      </c>
      <c r="Q36" s="133">
        <f>P36+K36</f>
        <v>215.45512088744601</v>
      </c>
      <c r="R36" s="134"/>
    </row>
    <row r="39" spans="1:18" ht="14.4" thickBot="1"/>
    <row r="40" spans="1:18" ht="14.4">
      <c r="A40" s="135" t="s">
        <v>40</v>
      </c>
      <c r="B40" s="138" t="s">
        <v>46</v>
      </c>
      <c r="C40" s="139"/>
      <c r="D40" s="140"/>
      <c r="E40" s="141"/>
      <c r="F40" s="59"/>
      <c r="G40" s="60">
        <v>12</v>
      </c>
      <c r="H40" s="60">
        <v>6</v>
      </c>
      <c r="I40" s="61">
        <v>0.05</v>
      </c>
      <c r="J40" s="62" t="str">
        <f t="shared" ref="J40:J41" si="7">IF(ISBLANK(F40),"",IF(F40&gt;G40,0,IF(F40=G40,0.1,IF(F40&lt;=H40,1,((F40-G40)/(H40-G40))))))</f>
        <v/>
      </c>
      <c r="K40" s="63" t="str">
        <f>IF(ISBLANK(F40),"",(I40*Q11)*J40)</f>
        <v/>
      </c>
      <c r="L40" s="64"/>
      <c r="M40" s="60">
        <v>6</v>
      </c>
      <c r="N40" s="65">
        <v>0</v>
      </c>
      <c r="O40" s="62" t="str">
        <f t="shared" ref="O40:O41" si="8">IF(ISBLANK(L40),"",IF(L40&gt;M40,0,IF(L40&lt;=M40,1)))</f>
        <v/>
      </c>
      <c r="P40" s="63" t="str">
        <f t="shared" ref="P40:P43" si="9">IF(ISBLANK(L40),"",(N40*$R$2)*O40)</f>
        <v/>
      </c>
    </row>
    <row r="41" spans="1:18" ht="14.4">
      <c r="A41" s="136"/>
      <c r="B41" s="138" t="s">
        <v>47</v>
      </c>
      <c r="C41" s="139"/>
      <c r="D41" s="140"/>
      <c r="E41" s="142"/>
      <c r="F41" s="66"/>
      <c r="G41" s="67">
        <v>500</v>
      </c>
      <c r="H41" s="67">
        <v>120</v>
      </c>
      <c r="I41" s="61">
        <v>0.05</v>
      </c>
      <c r="J41" s="68" t="str">
        <f t="shared" si="7"/>
        <v/>
      </c>
      <c r="K41" s="69" t="str">
        <f>IF(ISBLANK(F41),"",(I41*Q11)*J41)</f>
        <v/>
      </c>
      <c r="L41" s="70"/>
      <c r="M41" s="67">
        <v>120</v>
      </c>
      <c r="N41" s="71">
        <v>0</v>
      </c>
      <c r="O41" s="72" t="str">
        <f t="shared" si="8"/>
        <v/>
      </c>
      <c r="P41" s="69" t="str">
        <f t="shared" si="9"/>
        <v/>
      </c>
    </row>
    <row r="42" spans="1:18" ht="14.4">
      <c r="A42" s="136"/>
      <c r="B42" s="138" t="s">
        <v>48</v>
      </c>
      <c r="C42" s="139"/>
      <c r="D42" s="140"/>
      <c r="E42" s="142"/>
      <c r="F42" s="66"/>
      <c r="G42" s="67">
        <v>25</v>
      </c>
      <c r="H42" s="67">
        <v>30</v>
      </c>
      <c r="I42" s="61">
        <v>0.15</v>
      </c>
      <c r="J42" s="68" t="str">
        <f t="shared" ref="J42:J43" si="10">IF(ISBLANK(F42),"",IF(F42&lt;G42,0,IF(F42=G42,0.1,IF(F42&gt;=H42,1,((F42-G42)/(H42-G42))))))</f>
        <v/>
      </c>
      <c r="K42" s="69" t="str">
        <f>IF(ISBLANK(F42),"",(I42*Q11)*J42)</f>
        <v/>
      </c>
      <c r="L42" s="70"/>
      <c r="M42" s="67">
        <v>40</v>
      </c>
      <c r="N42" s="71">
        <v>0</v>
      </c>
      <c r="O42" s="72" t="str">
        <f t="shared" ref="O42:O43" si="11">IF(ISBLANK(L42),"",IF(L42&lt;M42,0,IF(L42&gt;=M42,1)))</f>
        <v/>
      </c>
      <c r="P42" s="69" t="str">
        <f t="shared" si="9"/>
        <v/>
      </c>
    </row>
    <row r="43" spans="1:18" ht="14.4">
      <c r="A43" s="136"/>
      <c r="B43" s="138" t="s">
        <v>49</v>
      </c>
      <c r="C43" s="139"/>
      <c r="D43" s="140"/>
      <c r="E43" s="143"/>
      <c r="F43" s="66"/>
      <c r="G43" s="73">
        <v>70</v>
      </c>
      <c r="H43" s="73">
        <v>100</v>
      </c>
      <c r="I43" s="61">
        <v>0.25</v>
      </c>
      <c r="J43" s="68" t="str">
        <f t="shared" si="10"/>
        <v/>
      </c>
      <c r="K43" s="69" t="str">
        <f>IF(ISBLANK(F43),"",(I43*Q11)*J43)</f>
        <v/>
      </c>
      <c r="L43" s="74"/>
      <c r="M43" s="73">
        <v>10</v>
      </c>
      <c r="N43" s="75">
        <v>0</v>
      </c>
      <c r="O43" s="72" t="str">
        <f t="shared" si="11"/>
        <v/>
      </c>
      <c r="P43" s="69" t="str">
        <f t="shared" si="9"/>
        <v/>
      </c>
    </row>
    <row r="44" spans="1:18" ht="18" thickBot="1">
      <c r="A44" s="137"/>
      <c r="B44" s="144" t="s">
        <v>44</v>
      </c>
      <c r="C44" s="145"/>
      <c r="D44" s="145"/>
      <c r="E44" s="145"/>
      <c r="F44" s="145"/>
      <c r="G44" s="145"/>
      <c r="H44" s="146"/>
      <c r="I44" s="76">
        <f>SUM(I40:I43)</f>
        <v>0.5</v>
      </c>
      <c r="J44" s="77"/>
      <c r="K44" s="78">
        <f>SUM(K40:K43)</f>
        <v>0</v>
      </c>
      <c r="L44" s="79"/>
      <c r="M44" s="80"/>
      <c r="N44" s="76">
        <f>SUM(N40:N43)</f>
        <v>0</v>
      </c>
      <c r="O44" s="77"/>
      <c r="P44" s="78">
        <f>SUM(P40:P43)</f>
        <v>0</v>
      </c>
    </row>
    <row r="45" spans="1:18" ht="16.2" thickBot="1">
      <c r="A45" s="147" t="s">
        <v>45</v>
      </c>
      <c r="B45" s="145"/>
      <c r="C45" s="145"/>
      <c r="D45" s="145"/>
      <c r="E45" s="145"/>
      <c r="F45" s="145"/>
      <c r="G45" s="145"/>
      <c r="H45" s="146"/>
      <c r="I45" s="81">
        <f>I39+I31+I44</f>
        <v>0.5</v>
      </c>
      <c r="J45" s="82"/>
      <c r="K45" s="83">
        <f>K39+K31+K44</f>
        <v>0</v>
      </c>
      <c r="L45" s="148"/>
      <c r="M45" s="149"/>
      <c r="N45" s="81">
        <f>N39+N31+N44</f>
        <v>0.2</v>
      </c>
      <c r="O45" s="82"/>
      <c r="P45" s="83">
        <f>P39+P31+P44</f>
        <v>0</v>
      </c>
    </row>
    <row r="68" spans="21:25">
      <c r="U68" t="s">
        <v>60</v>
      </c>
      <c r="X68" s="167" t="s">
        <v>54</v>
      </c>
      <c r="Y68" t="s">
        <v>0</v>
      </c>
    </row>
    <row r="69" spans="21:25">
      <c r="X69" s="167" t="s">
        <v>55</v>
      </c>
      <c r="Y69" t="s">
        <v>0</v>
      </c>
    </row>
    <row r="72" spans="21:25" ht="15.6">
      <c r="U72" s="163" t="s">
        <v>53</v>
      </c>
      <c r="V72" s="95" t="s">
        <v>50</v>
      </c>
      <c r="W72" s="95" t="s">
        <v>51</v>
      </c>
      <c r="X72" s="95" t="s">
        <v>52</v>
      </c>
    </row>
    <row r="73" spans="21:25">
      <c r="U73" s="84"/>
      <c r="V73" s="90" t="s">
        <v>13</v>
      </c>
      <c r="W73" s="91"/>
      <c r="X73" s="7" t="s">
        <v>14</v>
      </c>
    </row>
    <row r="74" spans="21:25">
      <c r="U74" s="84"/>
      <c r="V74" s="90" t="s">
        <v>13</v>
      </c>
      <c r="W74" s="92"/>
      <c r="X74" s="87" t="s">
        <v>15</v>
      </c>
    </row>
    <row r="75" spans="21:25">
      <c r="U75" s="85"/>
      <c r="V75" s="90" t="s">
        <v>13</v>
      </c>
      <c r="W75" s="93"/>
      <c r="X75" s="87" t="s">
        <v>16</v>
      </c>
    </row>
    <row r="76" spans="21:25" ht="27.6">
      <c r="U76" s="85"/>
      <c r="V76" s="7" t="s">
        <v>17</v>
      </c>
      <c r="W76" s="7"/>
      <c r="X76" s="7"/>
    </row>
    <row r="77" spans="21:25">
      <c r="U77" s="84"/>
      <c r="V77" s="7" t="s">
        <v>18</v>
      </c>
      <c r="W77" s="7"/>
      <c r="X77" s="7"/>
    </row>
    <row r="78" spans="21:25">
      <c r="U78" s="84"/>
      <c r="V78" s="7" t="s">
        <v>19</v>
      </c>
      <c r="W78" s="7"/>
      <c r="X78" s="7"/>
    </row>
    <row r="79" spans="21:25">
      <c r="U79" s="84"/>
      <c r="V79" s="7" t="s">
        <v>20</v>
      </c>
      <c r="W79" s="7"/>
      <c r="X79" s="7"/>
    </row>
    <row r="80" spans="21:25" ht="41.4">
      <c r="U80" s="84"/>
      <c r="V80" s="7" t="s">
        <v>21</v>
      </c>
      <c r="W80" s="7" t="s">
        <v>22</v>
      </c>
      <c r="X80" s="86" t="s">
        <v>23</v>
      </c>
    </row>
    <row r="81" spans="21:25" ht="41.4">
      <c r="U81" s="84" t="s">
        <v>24</v>
      </c>
      <c r="V81" s="7" t="s">
        <v>21</v>
      </c>
      <c r="W81" s="7" t="s">
        <v>22</v>
      </c>
      <c r="X81" s="86" t="s">
        <v>25</v>
      </c>
    </row>
    <row r="82" spans="21:25" ht="41.4">
      <c r="U82" s="84"/>
      <c r="V82" s="7" t="s">
        <v>21</v>
      </c>
      <c r="W82" s="7" t="s">
        <v>22</v>
      </c>
      <c r="X82" s="86" t="s">
        <v>26</v>
      </c>
    </row>
    <row r="83" spans="21:25" ht="41.4">
      <c r="U83" s="84"/>
      <c r="V83" s="7" t="s">
        <v>21</v>
      </c>
      <c r="W83" s="7" t="s">
        <v>27</v>
      </c>
      <c r="X83" s="86" t="s">
        <v>23</v>
      </c>
    </row>
    <row r="84" spans="21:25" ht="41.4">
      <c r="U84" s="84"/>
      <c r="V84" s="7" t="s">
        <v>21</v>
      </c>
      <c r="W84" s="7" t="s">
        <v>27</v>
      </c>
      <c r="X84" s="86" t="s">
        <v>25</v>
      </c>
    </row>
    <row r="85" spans="21:25" ht="41.4">
      <c r="U85" s="84"/>
      <c r="V85" s="7" t="s">
        <v>21</v>
      </c>
      <c r="W85" s="7" t="s">
        <v>27</v>
      </c>
      <c r="X85" s="86" t="s">
        <v>26</v>
      </c>
    </row>
    <row r="86" spans="21:25" ht="41.4">
      <c r="U86" s="84"/>
      <c r="V86" s="7" t="s">
        <v>21</v>
      </c>
      <c r="W86" s="7" t="s">
        <v>28</v>
      </c>
      <c r="X86" s="86" t="s">
        <v>23</v>
      </c>
    </row>
    <row r="87" spans="21:25" ht="41.4">
      <c r="U87" s="84"/>
      <c r="V87" s="7" t="s">
        <v>21</v>
      </c>
      <c r="W87" s="7" t="s">
        <v>28</v>
      </c>
      <c r="X87" s="86" t="s">
        <v>25</v>
      </c>
    </row>
    <row r="88" spans="21:25" ht="41.4">
      <c r="U88" s="84"/>
      <c r="V88" s="7" t="s">
        <v>21</v>
      </c>
      <c r="W88" s="7" t="s">
        <v>28</v>
      </c>
      <c r="X88" s="86" t="s">
        <v>26</v>
      </c>
    </row>
    <row r="89" spans="21:25" ht="41.4">
      <c r="U89" s="84"/>
      <c r="V89" s="7" t="s">
        <v>29</v>
      </c>
      <c r="W89" s="94"/>
      <c r="X89" s="94" t="s">
        <v>23</v>
      </c>
    </row>
    <row r="90" spans="21:25" ht="41.4">
      <c r="U90" s="84"/>
      <c r="V90" s="7" t="s">
        <v>29</v>
      </c>
      <c r="W90" s="94"/>
      <c r="X90" s="94" t="s">
        <v>25</v>
      </c>
    </row>
    <row r="91" spans="21:25" ht="41.4">
      <c r="U91" s="84"/>
      <c r="V91" s="7" t="s">
        <v>29</v>
      </c>
      <c r="W91" s="94"/>
      <c r="X91" s="94" t="s">
        <v>26</v>
      </c>
    </row>
    <row r="92" spans="21:25">
      <c r="U92" s="84"/>
    </row>
    <row r="93" spans="21:25">
      <c r="U93" s="127" t="s">
        <v>31</v>
      </c>
      <c r="V93" s="164" t="s">
        <v>32</v>
      </c>
      <c r="W93" s="165"/>
      <c r="X93" s="165"/>
      <c r="Y93" s="166"/>
    </row>
    <row r="94" spans="21:25">
      <c r="U94" s="127"/>
      <c r="V94" s="164" t="s">
        <v>33</v>
      </c>
      <c r="W94" s="165"/>
      <c r="X94" s="165"/>
      <c r="Y94" s="166"/>
    </row>
    <row r="95" spans="21:25">
      <c r="U95" s="127"/>
      <c r="V95" s="164" t="s">
        <v>34</v>
      </c>
      <c r="W95" s="165"/>
      <c r="X95" s="165"/>
      <c r="Y95" s="166"/>
    </row>
    <row r="96" spans="21:25" ht="27.6">
      <c r="U96" s="127"/>
      <c r="V96" s="164" t="s">
        <v>35</v>
      </c>
      <c r="W96" s="165"/>
      <c r="X96" s="165"/>
      <c r="Y96" s="166"/>
    </row>
    <row r="97" spans="21:37" ht="26.4" customHeight="1">
      <c r="U97" s="127"/>
      <c r="V97" s="164" t="s">
        <v>36</v>
      </c>
      <c r="W97" s="165"/>
      <c r="X97" s="165"/>
      <c r="Y97" s="166"/>
      <c r="Z97" s="98" t="s">
        <v>1</v>
      </c>
      <c r="AA97" s="98"/>
      <c r="AB97" s="98"/>
      <c r="AC97" s="98"/>
      <c r="AD97" s="98"/>
      <c r="AE97" s="98"/>
      <c r="AF97" s="99" t="s">
        <v>2</v>
      </c>
      <c r="AG97" s="99"/>
      <c r="AH97" s="99"/>
      <c r="AI97" s="99"/>
      <c r="AJ97" s="99"/>
      <c r="AK97" s="168" t="s">
        <v>56</v>
      </c>
    </row>
    <row r="98" spans="21:37" ht="31.2">
      <c r="U98" s="127"/>
      <c r="V98" s="164" t="s">
        <v>37</v>
      </c>
      <c r="W98" s="165"/>
      <c r="X98" s="165"/>
      <c r="Y98" s="166"/>
      <c r="Z98" s="2" t="s">
        <v>6</v>
      </c>
      <c r="AA98" s="1" t="s">
        <v>7</v>
      </c>
      <c r="AB98" s="1" t="s">
        <v>8</v>
      </c>
      <c r="AC98" s="88" t="s">
        <v>9</v>
      </c>
      <c r="AD98" s="88" t="s">
        <v>10</v>
      </c>
      <c r="AE98" s="88" t="s">
        <v>11</v>
      </c>
      <c r="AF98" s="4" t="s">
        <v>6</v>
      </c>
      <c r="AG98" s="4" t="s">
        <v>12</v>
      </c>
      <c r="AH98" s="89" t="s">
        <v>9</v>
      </c>
      <c r="AI98" s="89" t="s">
        <v>10</v>
      </c>
      <c r="AJ98" s="89" t="s">
        <v>11</v>
      </c>
      <c r="AK98" s="163" t="s">
        <v>57</v>
      </c>
    </row>
    <row r="99" spans="21:37" ht="27.6">
      <c r="U99" s="127"/>
      <c r="V99" s="164" t="s">
        <v>38</v>
      </c>
      <c r="W99" s="165"/>
      <c r="X99" s="165"/>
      <c r="Y99" s="166"/>
    </row>
    <row r="100" spans="21:37">
      <c r="U100" s="127"/>
    </row>
    <row r="101" spans="21:37">
      <c r="U101" t="s">
        <v>58</v>
      </c>
      <c r="V101" s="169" t="s">
        <v>59</v>
      </c>
    </row>
  </sheetData>
  <mergeCells count="63">
    <mergeCell ref="U93:U100"/>
    <mergeCell ref="Z97:AE97"/>
    <mergeCell ref="AF97:AJ97"/>
    <mergeCell ref="A45:H45"/>
    <mergeCell ref="L45:M45"/>
    <mergeCell ref="B35:H35"/>
    <mergeCell ref="A36:H36"/>
    <mergeCell ref="L36:M36"/>
    <mergeCell ref="A32:A35"/>
    <mergeCell ref="B32:D32"/>
    <mergeCell ref="E32:E34"/>
    <mergeCell ref="B33:D33"/>
    <mergeCell ref="B34:D34"/>
    <mergeCell ref="L31:M31"/>
    <mergeCell ref="Q36:R36"/>
    <mergeCell ref="A40:A44"/>
    <mergeCell ref="B40:D40"/>
    <mergeCell ref="E40:E43"/>
    <mergeCell ref="B41:D41"/>
    <mergeCell ref="B42:D42"/>
    <mergeCell ref="B43:D43"/>
    <mergeCell ref="B44:H44"/>
    <mergeCell ref="P20:P22"/>
    <mergeCell ref="C21:D21"/>
    <mergeCell ref="C22:D22"/>
    <mergeCell ref="B23:H23"/>
    <mergeCell ref="L23:M23"/>
    <mergeCell ref="B20:B22"/>
    <mergeCell ref="C20:D20"/>
    <mergeCell ref="I20:I22"/>
    <mergeCell ref="K20:K22"/>
    <mergeCell ref="N20:N22"/>
    <mergeCell ref="C17:C19"/>
    <mergeCell ref="A24:A31"/>
    <mergeCell ref="B24:E24"/>
    <mergeCell ref="B25:E25"/>
    <mergeCell ref="B26:E26"/>
    <mergeCell ref="B27:E27"/>
    <mergeCell ref="B28:E28"/>
    <mergeCell ref="B29:E29"/>
    <mergeCell ref="B30:E30"/>
    <mergeCell ref="B31:H31"/>
    <mergeCell ref="Q4:Q35"/>
    <mergeCell ref="R4:R35"/>
    <mergeCell ref="B7:D7"/>
    <mergeCell ref="E7:E10"/>
    <mergeCell ref="B8:D8"/>
    <mergeCell ref="B9:D9"/>
    <mergeCell ref="B10:D10"/>
    <mergeCell ref="B11:B19"/>
    <mergeCell ref="C11:C13"/>
    <mergeCell ref="I11:I19"/>
    <mergeCell ref="B4:C6"/>
    <mergeCell ref="I4:I6"/>
    <mergeCell ref="K11:K19"/>
    <mergeCell ref="N11:N19"/>
    <mergeCell ref="P11:P19"/>
    <mergeCell ref="C14:C16"/>
    <mergeCell ref="A2:D2"/>
    <mergeCell ref="E2:E3"/>
    <mergeCell ref="F2:K2"/>
    <mergeCell ref="L2:P2"/>
    <mergeCell ref="A3:D3"/>
  </mergeCells>
  <conditionalFormatting sqref="I36">
    <cfRule type="cellIs" dxfId="4" priority="4" operator="greaterThan">
      <formula>1</formula>
    </cfRule>
  </conditionalFormatting>
  <conditionalFormatting sqref="N36">
    <cfRule type="cellIs" dxfId="3" priority="5" operator="greaterThan">
      <formula>1</formula>
    </cfRule>
  </conditionalFormatting>
  <conditionalFormatting sqref="I40:I43">
    <cfRule type="cellIs" dxfId="2" priority="1" operator="lessThan">
      <formula>0.0000001</formula>
    </cfRule>
  </conditionalFormatting>
  <conditionalFormatting sqref="I45">
    <cfRule type="cellIs" dxfId="1" priority="2" operator="greaterThan">
      <formula>1</formula>
    </cfRule>
  </conditionalFormatting>
  <conditionalFormatting sqref="N45">
    <cfRule type="cellIs" dxfId="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Salima DRIF</dc:creator>
  <cp:lastModifiedBy>Pc</cp:lastModifiedBy>
  <dcterms:created xsi:type="dcterms:W3CDTF">2026-04-24T15:39:46Z</dcterms:created>
  <dcterms:modified xsi:type="dcterms:W3CDTF">2026-05-09T02:06:43Z</dcterms:modified>
</cp:coreProperties>
</file>