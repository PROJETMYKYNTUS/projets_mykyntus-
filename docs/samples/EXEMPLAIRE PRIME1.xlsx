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projets_mykyntus-\docs\samples\"/>
    </mc:Choice>
  </mc:AlternateContent>
  <bookViews>
    <workbookView xWindow="0" yWindow="0" windowWidth="19368" windowHeight="938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0" i="1" l="1"/>
  <c r="I30" i="1"/>
  <c r="P29" i="1"/>
  <c r="O29" i="1"/>
  <c r="J29" i="1"/>
  <c r="K29" i="1" s="1"/>
  <c r="P28" i="1"/>
  <c r="O28" i="1"/>
  <c r="J28" i="1"/>
  <c r="K28" i="1" s="1"/>
  <c r="P27" i="1"/>
  <c r="O27" i="1"/>
  <c r="J27" i="1"/>
  <c r="K27" i="1" s="1"/>
  <c r="P26" i="1"/>
  <c r="O26" i="1"/>
  <c r="J26" i="1"/>
  <c r="K26" i="1" s="1"/>
  <c r="P25" i="1"/>
  <c r="O25" i="1"/>
  <c r="J25" i="1"/>
  <c r="K25" i="1" s="1"/>
  <c r="P24" i="1"/>
  <c r="O24" i="1"/>
  <c r="J24" i="1"/>
  <c r="K24" i="1" s="1"/>
  <c r="P23" i="1"/>
  <c r="P30" i="1" s="1"/>
  <c r="O23" i="1"/>
  <c r="J23" i="1"/>
  <c r="K23" i="1" s="1"/>
  <c r="N22" i="1"/>
  <c r="I22" i="1"/>
  <c r="O21" i="1"/>
  <c r="J21" i="1"/>
  <c r="O20" i="1"/>
  <c r="J20" i="1"/>
  <c r="P19" i="1"/>
  <c r="O19" i="1"/>
  <c r="J19" i="1"/>
  <c r="K19" i="1" s="1"/>
  <c r="O18" i="1"/>
  <c r="J18" i="1"/>
  <c r="O17" i="1"/>
  <c r="J17" i="1"/>
  <c r="O16" i="1"/>
  <c r="J16" i="1"/>
  <c r="O15" i="1"/>
  <c r="J15" i="1"/>
  <c r="O14" i="1"/>
  <c r="J14" i="1"/>
  <c r="O13" i="1"/>
  <c r="J13" i="1"/>
  <c r="O12" i="1"/>
  <c r="J12" i="1"/>
  <c r="O11" i="1"/>
  <c r="J11" i="1"/>
  <c r="P10" i="1"/>
  <c r="O10" i="1"/>
  <c r="J10" i="1"/>
  <c r="K10" i="1" s="1"/>
  <c r="P9" i="1"/>
  <c r="O9" i="1"/>
  <c r="J9" i="1"/>
  <c r="K9" i="1" s="1"/>
  <c r="P8" i="1"/>
  <c r="O8" i="1"/>
  <c r="J8" i="1"/>
  <c r="K8" i="1" s="1"/>
  <c r="P7" i="1"/>
  <c r="O7" i="1"/>
  <c r="J7" i="1"/>
  <c r="K7" i="1" s="1"/>
  <c r="P6" i="1"/>
  <c r="P22" i="1" s="1"/>
  <c r="O6" i="1"/>
  <c r="J6" i="1"/>
  <c r="K6" i="1" s="1"/>
  <c r="K5" i="1"/>
  <c r="J5" i="1"/>
  <c r="J4" i="1"/>
  <c r="K4" i="1" s="1"/>
  <c r="P3" i="1"/>
  <c r="O3" i="1"/>
  <c r="J3" i="1"/>
  <c r="K3" i="1" s="1"/>
  <c r="K22" i="1" l="1"/>
  <c r="K30" i="1"/>
</calcChain>
</file>

<file path=xl/sharedStrings.xml><?xml version="1.0" encoding="utf-8"?>
<sst xmlns="http://schemas.openxmlformats.org/spreadsheetml/2006/main" count="51" uniqueCount="38">
  <si>
    <t>Répartitions des RDV</t>
  </si>
  <si>
    <t>Prime (Secteur)</t>
  </si>
  <si>
    <t>Challenge (Secteur)</t>
  </si>
  <si>
    <t>Indicateurs</t>
  </si>
  <si>
    <t>Résultat</t>
  </si>
  <si>
    <t>KPI Point MIN</t>
  </si>
  <si>
    <t>KPI Point MAX</t>
  </si>
  <si>
    <t>Pondération</t>
  </si>
  <si>
    <t>Bonus Atteint (%)</t>
  </si>
  <si>
    <t>Montant</t>
  </si>
  <si>
    <t>KPI Challenge</t>
  </si>
  <si>
    <t>Taux de report</t>
  </si>
  <si>
    <t>ZTD</t>
  </si>
  <si>
    <t>ZMD</t>
  </si>
  <si>
    <t>RIP</t>
  </si>
  <si>
    <t>Délai de prise RDV d’installation</t>
  </si>
  <si>
    <t>Satcli ( sur RDV OK)</t>
  </si>
  <si>
    <t>Satcli ( sur RDV NOK)</t>
  </si>
  <si>
    <t>transformation des GEM</t>
  </si>
  <si>
    <t>Performances des RDV d’installation de Rang 1 (par date de RDV)</t>
  </si>
  <si>
    <t>Barème PLP</t>
  </si>
  <si>
    <t>GROUPE A</t>
  </si>
  <si>
    <t>RACC</t>
  </si>
  <si>
    <t>GROUPE B</t>
  </si>
  <si>
    <t>GROUPE C</t>
  </si>
  <si>
    <t>Barème Hotline</t>
  </si>
  <si>
    <t>Barème Construction</t>
  </si>
  <si>
    <t>Performances des RDV d’installation hors Rang 1 (par date de RDV)</t>
  </si>
  <si>
    <t>Somme RACC</t>
  </si>
  <si>
    <t>SAV</t>
  </si>
  <si>
    <t>Taux de CR OK</t>
  </si>
  <si>
    <t>Délai de prise RDV SAV</t>
  </si>
  <si>
    <t>Sécurisation de RDV</t>
  </si>
  <si>
    <t>Délai de traitement Audit PM</t>
  </si>
  <si>
    <t>CLIENTS TRES INSATISFAIT</t>
  </si>
  <si>
    <t>CONFORMITE DE CR</t>
  </si>
  <si>
    <t>DELAI traitement remis en etat</t>
  </si>
  <si>
    <t>Somme SAV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</si>
</sst>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_€"/>
    <numFmt numFmtId="165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2"/>
      <color rgb="FF00610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4" tint="-0.249977111117893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2F5496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ED7D31"/>
      <name val="Arial"/>
      <family val="2"/>
    </font>
    <font>
      <b/>
      <sz val="11"/>
      <color rgb="FF00B050"/>
      <name val="Arial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DE5BC"/>
        <bgColor indexed="64"/>
      </patternFill>
    </fill>
    <fill>
      <patternFill patternType="solid">
        <fgColor rgb="FFDFF5E5"/>
        <bgColor indexed="64"/>
      </patternFill>
    </fill>
    <fill>
      <patternFill patternType="solid">
        <fgColor rgb="FFC6ECD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4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ED7D3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8" fillId="0" borderId="0" applyNumberFormat="0" applyFont="0" applyFill="0" applyBorder="0" applyAlignment="0" applyProtection="0"/>
    <xf numFmtId="9" fontId="8" fillId="0" borderId="0" applyFont="0" applyFill="0" applyBorder="0" applyAlignment="0" applyProtection="0"/>
  </cellStyleXfs>
  <cellXfs count="71">
    <xf numFmtId="0" fontId="0" fillId="0" borderId="0" xfId="0"/>
    <xf numFmtId="0" fontId="6" fillId="6" borderId="1" xfId="3" applyFon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vertical="center" wrapText="1"/>
    </xf>
    <xf numFmtId="0" fontId="7" fillId="2" borderId="1" xfId="2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10" fontId="9" fillId="8" borderId="1" xfId="4" applyNumberFormat="1" applyFont="1" applyFill="1" applyBorder="1" applyAlignment="1">
      <alignment horizontal="center"/>
    </xf>
    <xf numFmtId="10" fontId="4" fillId="6" borderId="1" xfId="1" applyNumberFormat="1" applyFont="1" applyFill="1" applyBorder="1" applyAlignment="1">
      <alignment horizontal="center" vertical="center"/>
    </xf>
    <xf numFmtId="9" fontId="0" fillId="9" borderId="1" xfId="0" applyNumberFormat="1" applyFill="1" applyBorder="1" applyAlignment="1">
      <alignment horizontal="center" vertical="center"/>
    </xf>
    <xf numFmtId="10" fontId="10" fillId="0" borderId="1" xfId="5" applyNumberFormat="1" applyFont="1" applyBorder="1" applyAlignment="1">
      <alignment horizontal="center" vertical="center"/>
    </xf>
    <xf numFmtId="164" fontId="8" fillId="0" borderId="1" xfId="4" applyNumberFormat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0" fillId="9" borderId="1" xfId="0" applyNumberFormat="1" applyFill="1" applyBorder="1" applyAlignment="1">
      <alignment horizontal="center" vertical="center"/>
    </xf>
    <xf numFmtId="10" fontId="10" fillId="10" borderId="1" xfId="5" applyNumberFormat="1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0" fillId="0" borderId="1" xfId="0" applyBorder="1" applyAlignment="1">
      <alignment horizontal="left" vertical="center" wrapText="1"/>
    </xf>
    <xf numFmtId="10" fontId="12" fillId="0" borderId="11" xfId="0" applyNumberFormat="1" applyFont="1" applyBorder="1" applyAlignment="1">
      <alignment horizontal="center" vertical="center"/>
    </xf>
    <xf numFmtId="10" fontId="12" fillId="0" borderId="12" xfId="0" applyNumberFormat="1" applyFont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right" vertical="center" wrapText="1"/>
    </xf>
    <xf numFmtId="10" fontId="5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vertical="center"/>
    </xf>
    <xf numFmtId="164" fontId="5" fillId="12" borderId="1" xfId="0" applyNumberFormat="1" applyFont="1" applyFill="1" applyBorder="1" applyAlignment="1">
      <alignment horizontal="center" vertical="center"/>
    </xf>
    <xf numFmtId="10" fontId="14" fillId="13" borderId="16" xfId="0" applyNumberFormat="1" applyFont="1" applyFill="1" applyBorder="1" applyAlignment="1">
      <alignment horizontal="center" vertical="center"/>
    </xf>
    <xf numFmtId="9" fontId="11" fillId="9" borderId="1" xfId="0" applyNumberFormat="1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0" fontId="15" fillId="13" borderId="16" xfId="0" applyNumberFormat="1" applyFont="1" applyFill="1" applyBorder="1" applyAlignment="1">
      <alignment horizontal="center"/>
    </xf>
    <xf numFmtId="9" fontId="11" fillId="9" borderId="1" xfId="1" applyFont="1" applyFill="1" applyBorder="1" applyAlignment="1">
      <alignment horizontal="center" vertical="center"/>
    </xf>
    <xf numFmtId="0" fontId="15" fillId="13" borderId="16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2" fontId="4" fillId="6" borderId="1" xfId="0" applyNumberFormat="1" applyFont="1" applyFill="1" applyBorder="1" applyAlignment="1">
      <alignment horizontal="center" vertical="center"/>
    </xf>
    <xf numFmtId="10" fontId="10" fillId="0" borderId="1" xfId="5" applyNumberFormat="1" applyFont="1" applyFill="1" applyBorder="1" applyAlignment="1">
      <alignment horizontal="center" vertical="center"/>
    </xf>
    <xf numFmtId="9" fontId="16" fillId="9" borderId="1" xfId="0" applyNumberFormat="1" applyFont="1" applyFill="1" applyBorder="1" applyAlignment="1">
      <alignment horizontal="center" vertical="center" wrapText="1"/>
    </xf>
    <xf numFmtId="10" fontId="4" fillId="10" borderId="1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right" vertical="center" wrapText="1"/>
    </xf>
    <xf numFmtId="10" fontId="4" fillId="0" borderId="4" xfId="0" applyNumberFormat="1" applyFont="1" applyBorder="1" applyAlignment="1">
      <alignment horizontal="center" vertical="center"/>
    </xf>
    <xf numFmtId="10" fontId="4" fillId="0" borderId="7" xfId="0" applyNumberFormat="1" applyFont="1" applyBorder="1" applyAlignment="1">
      <alignment horizontal="center" vertical="center"/>
    </xf>
    <xf numFmtId="10" fontId="4" fillId="0" borderId="10" xfId="0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0" fontId="4" fillId="10" borderId="4" xfId="0" applyNumberFormat="1" applyFont="1" applyFill="1" applyBorder="1" applyAlignment="1">
      <alignment horizontal="center" vertical="center"/>
    </xf>
    <xf numFmtId="10" fontId="4" fillId="10" borderId="7" xfId="0" applyNumberFormat="1" applyFont="1" applyFill="1" applyBorder="1" applyAlignment="1">
      <alignment horizontal="center" vertical="center"/>
    </xf>
    <xf numFmtId="10" fontId="4" fillId="10" borderId="10" xfId="0" applyNumberFormat="1" applyFont="1" applyFill="1" applyBorder="1" applyAlignment="1">
      <alignment horizontal="center" vertical="center"/>
    </xf>
    <xf numFmtId="164" fontId="8" fillId="0" borderId="4" xfId="4" applyNumberFormat="1" applyBorder="1" applyAlignment="1">
      <alignment horizontal="center" vertical="center"/>
    </xf>
    <xf numFmtId="164" fontId="8" fillId="0" borderId="7" xfId="4" applyNumberFormat="1" applyBorder="1" applyAlignment="1">
      <alignment horizontal="center" vertical="center"/>
    </xf>
    <xf numFmtId="164" fontId="8" fillId="0" borderId="10" xfId="4" applyNumberFormat="1" applyBorder="1" applyAlignment="1">
      <alignment horizontal="center" vertical="center"/>
    </xf>
    <xf numFmtId="0" fontId="11" fillId="11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left" vertical="center"/>
    </xf>
    <xf numFmtId="0" fontId="6" fillId="4" borderId="1" xfId="3" applyFont="1" applyFill="1" applyBorder="1" applyAlignment="1">
      <alignment horizontal="center" vertical="center" wrapText="1"/>
    </xf>
    <xf numFmtId="0" fontId="7" fillId="2" borderId="1" xfId="2" applyFont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0" fontId="10" fillId="0" borderId="4" xfId="5" applyNumberFormat="1" applyFont="1" applyBorder="1" applyAlignment="1">
      <alignment horizontal="center" vertical="center"/>
    </xf>
    <xf numFmtId="10" fontId="10" fillId="0" borderId="7" xfId="5" applyNumberFormat="1" applyFont="1" applyBorder="1" applyAlignment="1">
      <alignment horizontal="center" vertical="center"/>
    </xf>
    <xf numFmtId="10" fontId="10" fillId="0" borderId="10" xfId="5" applyNumberFormat="1" applyFont="1" applyBorder="1" applyAlignment="1">
      <alignment horizontal="center" vertical="center"/>
    </xf>
  </cellXfs>
  <cellStyles count="6">
    <cellStyle name="Neutre 2" xfId="3"/>
    <cellStyle name="Normal" xfId="0" builtinId="0"/>
    <cellStyle name="Normal 2" xfId="4"/>
    <cellStyle name="Pourcentage" xfId="1" builtinId="5"/>
    <cellStyle name="Pourcentage 2" xfId="5"/>
    <cellStyle name="Satisfaisant" xfId="2" builtinId="26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abSelected="1" zoomScale="55" zoomScaleNormal="55" workbookViewId="0">
      <selection sqref="A1:P30"/>
    </sheetView>
  </sheetViews>
  <sheetFormatPr baseColWidth="10" defaultRowHeight="14.4" x14ac:dyDescent="0.3"/>
  <cols>
    <col min="1" max="1" width="32.5546875" customWidth="1"/>
    <col min="17" max="17" width="18.77734375" customWidth="1"/>
  </cols>
  <sheetData>
    <row r="1" spans="1:16" ht="17.399999999999999" customHeight="1" x14ac:dyDescent="0.3">
      <c r="A1" s="57"/>
      <c r="B1" s="57"/>
      <c r="C1" s="57"/>
      <c r="D1" s="57"/>
      <c r="E1" s="58" t="s">
        <v>0</v>
      </c>
      <c r="F1" s="59" t="s">
        <v>1</v>
      </c>
      <c r="G1" s="59"/>
      <c r="H1" s="59"/>
      <c r="I1" s="59"/>
      <c r="J1" s="59"/>
      <c r="K1" s="59"/>
      <c r="L1" s="60" t="s">
        <v>2</v>
      </c>
      <c r="M1" s="60"/>
      <c r="N1" s="60"/>
      <c r="O1" s="60"/>
      <c r="P1" s="60"/>
    </row>
    <row r="2" spans="1:16" ht="107.4" customHeight="1" x14ac:dyDescent="0.3">
      <c r="A2" s="61" t="s">
        <v>3</v>
      </c>
      <c r="B2" s="61"/>
      <c r="C2" s="61"/>
      <c r="D2" s="61"/>
      <c r="E2" s="58"/>
      <c r="F2" s="1" t="s">
        <v>4</v>
      </c>
      <c r="G2" s="2" t="s">
        <v>5</v>
      </c>
      <c r="H2" s="2" t="s">
        <v>6</v>
      </c>
      <c r="I2" s="3" t="s">
        <v>7</v>
      </c>
      <c r="J2" s="3" t="s">
        <v>8</v>
      </c>
      <c r="K2" s="3" t="s">
        <v>9</v>
      </c>
      <c r="L2" s="4" t="s">
        <v>4</v>
      </c>
      <c r="M2" s="4" t="s">
        <v>10</v>
      </c>
      <c r="N2" s="5" t="s">
        <v>7</v>
      </c>
      <c r="O2" s="5" t="s">
        <v>8</v>
      </c>
      <c r="P2" s="5" t="s">
        <v>9</v>
      </c>
    </row>
    <row r="3" spans="1:16" ht="14.4" customHeight="1" x14ac:dyDescent="0.3">
      <c r="A3" s="6"/>
      <c r="B3" s="62" t="s">
        <v>11</v>
      </c>
      <c r="C3" s="63"/>
      <c r="D3" s="7" t="s">
        <v>12</v>
      </c>
      <c r="E3" s="8">
        <v>0.15441557992320701</v>
      </c>
      <c r="F3" s="9">
        <v>0.19409999999999999</v>
      </c>
      <c r="G3" s="10">
        <v>0.15</v>
      </c>
      <c r="H3" s="10">
        <v>0.13</v>
      </c>
      <c r="I3" s="68">
        <v>0.02</v>
      </c>
      <c r="J3" s="11">
        <f>IF(ISBLANK(F3),"",IF(F3&gt;G3,0,IF(F3=G3,0.1,IF(F3&lt;=H3,1,((F3-G3)/(H3-G3))))))</f>
        <v>0</v>
      </c>
      <c r="K3" s="12">
        <f>IF(ISBLANK(F3),"",(I3*Q2)*J3)</f>
        <v>0</v>
      </c>
      <c r="L3" s="13"/>
      <c r="M3" s="14">
        <v>0.06</v>
      </c>
      <c r="N3" s="15">
        <v>0</v>
      </c>
      <c r="O3" s="11" t="str">
        <f>IF(ISBLANK(L3),"",IF(L3&gt;M3,0,1))</f>
        <v/>
      </c>
      <c r="P3" s="12" t="str">
        <f>IF(ISBLANK(L3),"",(N3*#REF!)*O3)</f>
        <v/>
      </c>
    </row>
    <row r="4" spans="1:16" ht="14.4" customHeight="1" x14ac:dyDescent="0.3">
      <c r="A4" s="6"/>
      <c r="B4" s="64"/>
      <c r="C4" s="65"/>
      <c r="D4" s="17" t="s">
        <v>13</v>
      </c>
      <c r="E4" s="8">
        <v>0.450136635649798</v>
      </c>
      <c r="F4" s="9">
        <v>9.6699999999999994E-2</v>
      </c>
      <c r="G4" s="10">
        <v>0.09</v>
      </c>
      <c r="H4" s="10">
        <v>7.0000000000000007E-2</v>
      </c>
      <c r="I4" s="69"/>
      <c r="J4" s="11">
        <f t="shared" ref="J4:J5" si="0">IF(ISBLANK(F4),"",IF(F4&gt;G4,0,IF(F4=G4,0.1,IF(F4&lt;=H4,1,((F4-G4)/(H4-G4))))))</f>
        <v>0</v>
      </c>
      <c r="K4" s="12">
        <f>IF(ISBLANK(F4),"",(I3*Q2)*J4)</f>
        <v>0</v>
      </c>
      <c r="L4" s="13"/>
      <c r="M4" s="14"/>
      <c r="N4" s="15"/>
      <c r="O4" s="11"/>
      <c r="P4" s="12"/>
    </row>
    <row r="5" spans="1:16" x14ac:dyDescent="0.3">
      <c r="A5" s="16"/>
      <c r="B5" s="66"/>
      <c r="C5" s="67"/>
      <c r="D5" s="17" t="s">
        <v>14</v>
      </c>
      <c r="E5" s="8">
        <v>0.39544778442699507</v>
      </c>
      <c r="F5" s="9">
        <v>0.1116</v>
      </c>
      <c r="G5" s="10">
        <v>0.09</v>
      </c>
      <c r="H5" s="10">
        <v>7.0000000000000007E-2</v>
      </c>
      <c r="I5" s="70"/>
      <c r="J5" s="11">
        <f t="shared" si="0"/>
        <v>0</v>
      </c>
      <c r="K5" s="12">
        <f>IF(ISBLANK(F5),"",(I3*Q2)*J5)</f>
        <v>0</v>
      </c>
      <c r="L5" s="13"/>
      <c r="M5" s="14"/>
      <c r="N5" s="15"/>
      <c r="O5" s="11"/>
      <c r="P5" s="12"/>
    </row>
    <row r="6" spans="1:16" ht="14.4" customHeight="1" x14ac:dyDescent="0.3">
      <c r="A6" s="16"/>
      <c r="B6" s="42" t="s">
        <v>15</v>
      </c>
      <c r="C6" s="42"/>
      <c r="D6" s="42"/>
      <c r="E6" s="56"/>
      <c r="F6" s="9">
        <v>0.94620000000000004</v>
      </c>
      <c r="G6" s="14">
        <v>0.85</v>
      </c>
      <c r="H6" s="14">
        <v>0.95</v>
      </c>
      <c r="I6" s="18">
        <v>7.0000000000000007E-2</v>
      </c>
      <c r="J6" s="11">
        <f>IF(ISBLANK(F6),"",IF(F6&lt;G6,0,IF(F6=G6,0.1,IF(F6&gt;=H6,1,((F6-G6)/(H6-G6))))))</f>
        <v>0.96200000000000085</v>
      </c>
      <c r="K6" s="12">
        <f>IF(ISBLANK(F6),"",(I6*Q2)*J6)</f>
        <v>0</v>
      </c>
      <c r="L6" s="13"/>
      <c r="M6" s="14">
        <v>0.95</v>
      </c>
      <c r="N6" s="15">
        <v>0</v>
      </c>
      <c r="O6" s="11" t="str">
        <f>IF(ISBLANK(L6),"",IF(L6&lt;M6,0,IF(L6&gt;=M6,1)))</f>
        <v/>
      </c>
      <c r="P6" s="12" t="str">
        <f>IF(ISBLANK(L6),"",(N6*#REF!)*O6)</f>
        <v/>
      </c>
    </row>
    <row r="7" spans="1:16" ht="14.4" customHeight="1" x14ac:dyDescent="0.3">
      <c r="A7" s="6"/>
      <c r="B7" s="42" t="s">
        <v>16</v>
      </c>
      <c r="C7" s="42"/>
      <c r="D7" s="42"/>
      <c r="E7" s="56"/>
      <c r="F7" s="9">
        <v>0.83509999999999995</v>
      </c>
      <c r="G7" s="10">
        <v>0.83</v>
      </c>
      <c r="H7" s="10">
        <v>0.93</v>
      </c>
      <c r="I7" s="19">
        <v>0.03</v>
      </c>
      <c r="J7" s="11">
        <f>IF(ISBLANK(F7),"",IF(F7&lt;G7,0,IF(F7=G7,0.1,IF(F7&gt;=H7,1,((F7-G7)/(H7-G7))))))</f>
        <v>5.0999999999999886E-2</v>
      </c>
      <c r="K7" s="12">
        <f>IF(ISBLANK(F7),"",(I7*Q2)*J7)</f>
        <v>0</v>
      </c>
      <c r="L7" s="9"/>
      <c r="M7" s="10">
        <v>0.9</v>
      </c>
      <c r="N7" s="15">
        <v>0.1</v>
      </c>
      <c r="O7" s="11" t="str">
        <f>IF(ISBLANK(L7),"",IF(L7&lt;M7,0,1))</f>
        <v/>
      </c>
      <c r="P7" s="12" t="str">
        <f>IF(ISBLANK(L7),"",(N7*#REF!)*O7)</f>
        <v/>
      </c>
    </row>
    <row r="8" spans="1:16" ht="14.4" customHeight="1" x14ac:dyDescent="0.3">
      <c r="A8" s="6"/>
      <c r="B8" s="42" t="s">
        <v>17</v>
      </c>
      <c r="C8" s="42"/>
      <c r="D8" s="42"/>
      <c r="E8" s="56"/>
      <c r="F8" s="9">
        <v>0.46460000000000001</v>
      </c>
      <c r="G8" s="10">
        <v>0.35</v>
      </c>
      <c r="H8" s="10">
        <v>0.55000000000000004</v>
      </c>
      <c r="I8" s="19">
        <v>0.03</v>
      </c>
      <c r="J8" s="11">
        <f>IF(ISBLANK(F8),"",IF(F8&lt;G8,0,IF(F8=G8,0.1,IF(F8&gt;=H8,1,((F8-G8)/(H8-G8))))))</f>
        <v>0.57299999999999995</v>
      </c>
      <c r="K8" s="12">
        <f>IF(ISBLANK(F8),"",(I8*Q2)*J8)</f>
        <v>0</v>
      </c>
      <c r="L8" s="9"/>
      <c r="M8" s="10">
        <v>0.4</v>
      </c>
      <c r="N8" s="15">
        <v>0.1</v>
      </c>
      <c r="O8" s="11" t="str">
        <f>IF(ISBLANK(L8),"",IF(L8&lt;M8,0,IF(L8&gt;=M8,1)))</f>
        <v/>
      </c>
      <c r="P8" s="12" t="str">
        <f>IF(ISBLANK(L8),"",(N8*#REF!)*O8)</f>
        <v/>
      </c>
    </row>
    <row r="9" spans="1:16" ht="14.4" customHeight="1" x14ac:dyDescent="0.3">
      <c r="A9" s="6"/>
      <c r="B9" s="42" t="s">
        <v>18</v>
      </c>
      <c r="C9" s="42"/>
      <c r="D9" s="42"/>
      <c r="E9" s="56"/>
      <c r="F9" s="9">
        <v>3.5799999999999998E-2</v>
      </c>
      <c r="G9" s="10">
        <v>0.03</v>
      </c>
      <c r="H9" s="20">
        <v>1.2E-2</v>
      </c>
      <c r="I9" s="19">
        <v>0</v>
      </c>
      <c r="J9" s="11">
        <f>IF(ISBLANK(F9),"",IF(F9&gt;G9,0,IF(F9=G9,0.1,IF(F9&lt;=H9,1,((F9-G9)/(H9-G9))))))</f>
        <v>0</v>
      </c>
      <c r="K9" s="12">
        <f>IF(ISBLANK(F9),"",(I9*Q2)*J9)</f>
        <v>0</v>
      </c>
      <c r="L9" s="9"/>
      <c r="M9" s="20">
        <v>0.02</v>
      </c>
      <c r="N9" s="15">
        <v>0.1</v>
      </c>
      <c r="O9" s="11" t="str">
        <f>IF(ISBLANK(L9),"",IF(L9&gt;M9,0,1))</f>
        <v/>
      </c>
      <c r="P9" s="12" t="str">
        <f>IF(ISBLANK(L9),"",(N9*#REF!)*O9)</f>
        <v/>
      </c>
    </row>
    <row r="10" spans="1:16" ht="14.4" customHeight="1" x14ac:dyDescent="0.3">
      <c r="A10" s="6"/>
      <c r="B10" s="42" t="s">
        <v>19</v>
      </c>
      <c r="C10" s="42" t="s">
        <v>20</v>
      </c>
      <c r="D10" s="21" t="s">
        <v>21</v>
      </c>
      <c r="E10" s="8">
        <v>0.11</v>
      </c>
      <c r="F10" s="9">
        <v>0.9456</v>
      </c>
      <c r="G10" s="14">
        <v>0.93</v>
      </c>
      <c r="H10" s="14">
        <v>0.98</v>
      </c>
      <c r="I10" s="44">
        <v>0.15</v>
      </c>
      <c r="J10" s="11">
        <f t="shared" ref="J10:J21" si="1">IF(ISBLANK(F10),"",IF(F10&lt;G10,0,IF(F10=G10,(0.1*E10),IF(F10&gt;=H10,(1*E10),(((F10-G10)/(H10-G10))*E10)))))</f>
        <v>3.4319999999999927E-2</v>
      </c>
      <c r="K10" s="47">
        <f>IF(ISBLANK(F10),"",(I10*Q2)*((J10+J11+J12+J13+J14+J15+J16+J17+J18)))</f>
        <v>0</v>
      </c>
      <c r="L10" s="13"/>
      <c r="M10" s="14">
        <v>0.96</v>
      </c>
      <c r="N10" s="50">
        <v>0.1</v>
      </c>
      <c r="O10" s="11" t="str">
        <f t="shared" ref="O10:O21" si="2">IF(ISBLANK(L10),"",IF(L10&lt;M10,0,(1*E10)))</f>
        <v/>
      </c>
      <c r="P10" s="53" t="str">
        <f>IF(ISBLANK(L10),"",(N10*R2)*((O18+O10+O11+O12+O13+O14+O15+O16+O17)))</f>
        <v/>
      </c>
    </row>
    <row r="11" spans="1:16" ht="14.4" customHeight="1" x14ac:dyDescent="0.3">
      <c r="A11" s="6" t="s">
        <v>22</v>
      </c>
      <c r="B11" s="42"/>
      <c r="C11" s="42"/>
      <c r="D11" s="21" t="s">
        <v>23</v>
      </c>
      <c r="E11" s="8">
        <v>0.13250000000000001</v>
      </c>
      <c r="F11" s="9">
        <v>0.92910000000000004</v>
      </c>
      <c r="G11" s="14">
        <v>0.9</v>
      </c>
      <c r="H11" s="14">
        <v>0.96</v>
      </c>
      <c r="I11" s="45"/>
      <c r="J11" s="11">
        <f t="shared" si="1"/>
        <v>6.4262500000000097E-2</v>
      </c>
      <c r="K11" s="48"/>
      <c r="L11" s="13"/>
      <c r="M11" s="14">
        <v>0.92</v>
      </c>
      <c r="N11" s="51"/>
      <c r="O11" s="11" t="str">
        <f t="shared" si="2"/>
        <v/>
      </c>
      <c r="P11" s="54"/>
    </row>
    <row r="12" spans="1:16" x14ac:dyDescent="0.3">
      <c r="A12" s="6"/>
      <c r="B12" s="42"/>
      <c r="C12" s="42"/>
      <c r="D12" s="21" t="s">
        <v>24</v>
      </c>
      <c r="E12" s="8">
        <v>0.1447</v>
      </c>
      <c r="F12" s="9">
        <v>0.90490000000000004</v>
      </c>
      <c r="G12" s="14">
        <v>0.86</v>
      </c>
      <c r="H12" s="14">
        <v>0.95</v>
      </c>
      <c r="I12" s="45"/>
      <c r="J12" s="11">
        <f t="shared" si="1"/>
        <v>7.2189222222222321E-2</v>
      </c>
      <c r="K12" s="48"/>
      <c r="L12" s="13"/>
      <c r="M12" s="14">
        <v>0.88</v>
      </c>
      <c r="N12" s="51"/>
      <c r="O12" s="11" t="str">
        <f t="shared" si="2"/>
        <v/>
      </c>
      <c r="P12" s="54"/>
    </row>
    <row r="13" spans="1:16" ht="14.4" customHeight="1" x14ac:dyDescent="0.3">
      <c r="A13" s="6"/>
      <c r="B13" s="42"/>
      <c r="C13" s="42" t="s">
        <v>25</v>
      </c>
      <c r="D13" s="21" t="s">
        <v>21</v>
      </c>
      <c r="E13" s="8">
        <v>0.1321</v>
      </c>
      <c r="F13" s="9">
        <v>0.87560000000000004</v>
      </c>
      <c r="G13" s="14">
        <v>0.84</v>
      </c>
      <c r="H13" s="14">
        <v>0.91</v>
      </c>
      <c r="I13" s="45"/>
      <c r="J13" s="11">
        <f t="shared" si="1"/>
        <v>6.7182285714285805E-2</v>
      </c>
      <c r="K13" s="48"/>
      <c r="L13" s="13"/>
      <c r="M13" s="14">
        <v>0.87</v>
      </c>
      <c r="N13" s="51"/>
      <c r="O13" s="11" t="str">
        <f t="shared" si="2"/>
        <v/>
      </c>
      <c r="P13" s="54"/>
    </row>
    <row r="14" spans="1:16" ht="14.4" customHeight="1" x14ac:dyDescent="0.3">
      <c r="A14" s="6"/>
      <c r="B14" s="42"/>
      <c r="C14" s="42"/>
      <c r="D14" s="21" t="s">
        <v>23</v>
      </c>
      <c r="E14" s="8">
        <v>8.09E-2</v>
      </c>
      <c r="F14" s="9">
        <v>0.80500000000000005</v>
      </c>
      <c r="G14" s="14">
        <v>0.77</v>
      </c>
      <c r="H14" s="14">
        <v>0.88</v>
      </c>
      <c r="I14" s="45"/>
      <c r="J14" s="11">
        <f t="shared" si="1"/>
        <v>2.5740909090909116E-2</v>
      </c>
      <c r="K14" s="48"/>
      <c r="L14" s="13"/>
      <c r="M14" s="14">
        <v>0.79</v>
      </c>
      <c r="N14" s="51"/>
      <c r="O14" s="11" t="str">
        <f t="shared" si="2"/>
        <v/>
      </c>
      <c r="P14" s="54"/>
    </row>
    <row r="15" spans="1:16" x14ac:dyDescent="0.3">
      <c r="A15" s="6"/>
      <c r="B15" s="42"/>
      <c r="C15" s="42"/>
      <c r="D15" s="21" t="s">
        <v>24</v>
      </c>
      <c r="E15" s="8">
        <v>0.1108</v>
      </c>
      <c r="F15" s="9">
        <v>0.79500000000000004</v>
      </c>
      <c r="G15" s="14">
        <v>0.76</v>
      </c>
      <c r="H15" s="14">
        <v>0.83</v>
      </c>
      <c r="I15" s="45"/>
      <c r="J15" s="11">
        <f t="shared" si="1"/>
        <v>5.5400000000000081E-2</v>
      </c>
      <c r="K15" s="48"/>
      <c r="L15" s="13"/>
      <c r="M15" s="14">
        <v>0.78</v>
      </c>
      <c r="N15" s="51"/>
      <c r="O15" s="11" t="str">
        <f t="shared" si="2"/>
        <v/>
      </c>
      <c r="P15" s="54"/>
    </row>
    <row r="16" spans="1:16" ht="14.4" customHeight="1" x14ac:dyDescent="0.3">
      <c r="A16" s="6"/>
      <c r="B16" s="42"/>
      <c r="C16" s="42" t="s">
        <v>26</v>
      </c>
      <c r="D16" s="21" t="s">
        <v>21</v>
      </c>
      <c r="E16" s="8">
        <v>7.4700000000000003E-2</v>
      </c>
      <c r="F16" s="9">
        <v>0.77680000000000005</v>
      </c>
      <c r="G16" s="14">
        <v>0.78</v>
      </c>
      <c r="H16" s="14">
        <v>0.86</v>
      </c>
      <c r="I16" s="45"/>
      <c r="J16" s="11">
        <f t="shared" si="1"/>
        <v>0</v>
      </c>
      <c r="K16" s="48"/>
      <c r="L16" s="13"/>
      <c r="M16" s="14">
        <v>0.81</v>
      </c>
      <c r="N16" s="51"/>
      <c r="O16" s="11" t="str">
        <f t="shared" si="2"/>
        <v/>
      </c>
      <c r="P16" s="54"/>
    </row>
    <row r="17" spans="1:16" ht="14.4" customHeight="1" x14ac:dyDescent="0.3">
      <c r="A17" s="6"/>
      <c r="B17" s="42"/>
      <c r="C17" s="42"/>
      <c r="D17" s="21" t="s">
        <v>23</v>
      </c>
      <c r="E17" s="8">
        <v>0.1031</v>
      </c>
      <c r="F17" s="9">
        <v>0.76859999999999995</v>
      </c>
      <c r="G17" s="14">
        <v>0.74</v>
      </c>
      <c r="H17" s="14">
        <v>0.84</v>
      </c>
      <c r="I17" s="45"/>
      <c r="J17" s="11">
        <f t="shared" si="1"/>
        <v>2.9486599999999964E-2</v>
      </c>
      <c r="K17" s="48"/>
      <c r="L17" s="13"/>
      <c r="M17" s="14">
        <v>0.76</v>
      </c>
      <c r="N17" s="51"/>
      <c r="O17" s="11" t="str">
        <f t="shared" si="2"/>
        <v/>
      </c>
      <c r="P17" s="54"/>
    </row>
    <row r="18" spans="1:16" x14ac:dyDescent="0.3">
      <c r="A18" s="6"/>
      <c r="B18" s="42"/>
      <c r="C18" s="42"/>
      <c r="D18" s="21" t="s">
        <v>24</v>
      </c>
      <c r="E18" s="8">
        <v>0.1109</v>
      </c>
      <c r="F18" s="9">
        <v>0.73040000000000005</v>
      </c>
      <c r="G18" s="14">
        <v>0.68</v>
      </c>
      <c r="H18" s="14">
        <v>0.78</v>
      </c>
      <c r="I18" s="46"/>
      <c r="J18" s="11">
        <f t="shared" si="1"/>
        <v>5.5893600000000009E-2</v>
      </c>
      <c r="K18" s="49"/>
      <c r="L18" s="13"/>
      <c r="M18" s="14">
        <v>0.7</v>
      </c>
      <c r="N18" s="52"/>
      <c r="O18" s="11" t="str">
        <f t="shared" si="2"/>
        <v/>
      </c>
      <c r="P18" s="55"/>
    </row>
    <row r="19" spans="1:16" ht="14.4" customHeight="1" x14ac:dyDescent="0.3">
      <c r="A19" s="6"/>
      <c r="B19" s="42" t="s">
        <v>27</v>
      </c>
      <c r="C19" s="43" t="s">
        <v>21</v>
      </c>
      <c r="D19" s="43"/>
      <c r="E19" s="8">
        <v>0.24629999999999999</v>
      </c>
      <c r="F19" s="9">
        <v>0.66339999999999999</v>
      </c>
      <c r="G19" s="14">
        <v>0.67</v>
      </c>
      <c r="H19" s="14">
        <v>0.72</v>
      </c>
      <c r="I19" s="44">
        <v>0.2</v>
      </c>
      <c r="J19" s="11">
        <f t="shared" si="1"/>
        <v>0</v>
      </c>
      <c r="K19" s="47">
        <f>IF(ISBLANK(F19),"",(I19*Q2)*(J19+J20+J21))</f>
        <v>0</v>
      </c>
      <c r="L19" s="13"/>
      <c r="M19" s="14">
        <v>0.7</v>
      </c>
      <c r="N19" s="50">
        <v>0.2</v>
      </c>
      <c r="O19" s="11" t="str">
        <f>IF(ISBLANK(L19),"",IF(L19&lt;M19,0,(1*E19)))</f>
        <v/>
      </c>
      <c r="P19" s="47" t="str">
        <f>IF(ISBLANK(L19),"",(N19*#REF!)*(O19+O20+O21))</f>
        <v/>
      </c>
    </row>
    <row r="20" spans="1:16" ht="14.4" customHeight="1" x14ac:dyDescent="0.3">
      <c r="A20" s="6"/>
      <c r="B20" s="42"/>
      <c r="C20" s="43" t="s">
        <v>23</v>
      </c>
      <c r="D20" s="43"/>
      <c r="E20" s="8">
        <v>0.30320000000000003</v>
      </c>
      <c r="F20" s="9">
        <v>0.63590000000000002</v>
      </c>
      <c r="G20" s="14">
        <v>0.63</v>
      </c>
      <c r="H20" s="14">
        <v>0.68</v>
      </c>
      <c r="I20" s="45"/>
      <c r="J20" s="11">
        <f t="shared" si="1"/>
        <v>3.5777600000000069E-2</v>
      </c>
      <c r="K20" s="48"/>
      <c r="L20" s="13"/>
      <c r="M20" s="14">
        <v>0.66</v>
      </c>
      <c r="N20" s="51"/>
      <c r="O20" s="11" t="str">
        <f t="shared" si="2"/>
        <v/>
      </c>
      <c r="P20" s="48"/>
    </row>
    <row r="21" spans="1:16" x14ac:dyDescent="0.3">
      <c r="A21" s="6"/>
      <c r="B21" s="42"/>
      <c r="C21" s="43" t="s">
        <v>24</v>
      </c>
      <c r="D21" s="43"/>
      <c r="E21" s="8">
        <v>0.45050000000000001</v>
      </c>
      <c r="F21" s="9">
        <v>0.61099999999999999</v>
      </c>
      <c r="G21" s="14">
        <v>0.56999999999999995</v>
      </c>
      <c r="H21" s="14">
        <v>0.63</v>
      </c>
      <c r="I21" s="46"/>
      <c r="J21" s="11">
        <f t="shared" si="1"/>
        <v>0.30784166666666668</v>
      </c>
      <c r="K21" s="49"/>
      <c r="L21" s="13"/>
      <c r="M21" s="14">
        <v>0.59</v>
      </c>
      <c r="N21" s="52"/>
      <c r="O21" s="11" t="str">
        <f t="shared" si="2"/>
        <v/>
      </c>
      <c r="P21" s="49"/>
    </row>
    <row r="22" spans="1:16" ht="17.399999999999999" x14ac:dyDescent="0.3">
      <c r="A22" s="6"/>
      <c r="B22" s="37" t="s">
        <v>28</v>
      </c>
      <c r="C22" s="37"/>
      <c r="D22" s="37"/>
      <c r="E22" s="37"/>
      <c r="F22" s="37"/>
      <c r="G22" s="37"/>
      <c r="H22" s="37"/>
      <c r="I22" s="22">
        <f>SUM(I3:I21)</f>
        <v>0.5</v>
      </c>
      <c r="J22" s="23"/>
      <c r="K22" s="24">
        <f>SUM(K6:K21)</f>
        <v>0</v>
      </c>
      <c r="L22" s="37"/>
      <c r="M22" s="37"/>
      <c r="N22" s="22">
        <f>SUM(N6:N20)</f>
        <v>0.60000000000000009</v>
      </c>
      <c r="O22" s="23"/>
      <c r="P22" s="24">
        <f>SUM(P6:P20)</f>
        <v>0</v>
      </c>
    </row>
    <row r="23" spans="1:16" ht="14.4" customHeight="1" x14ac:dyDescent="0.3">
      <c r="A23" s="38" t="s">
        <v>29</v>
      </c>
      <c r="B23" s="39" t="s">
        <v>30</v>
      </c>
      <c r="C23" s="40"/>
      <c r="D23" s="40"/>
      <c r="E23" s="41"/>
      <c r="F23" s="25">
        <v>0.752</v>
      </c>
      <c r="G23" s="26">
        <v>0.78</v>
      </c>
      <c r="H23" s="26">
        <v>0.86</v>
      </c>
      <c r="I23" s="27"/>
      <c r="J23" s="11">
        <f>IF(ISBLANK(F23),"",IF(F23&lt;G23,0,IF(F23=G23,0.1,IF(F23&gt;=H23,1,((F23-G23)/(H23-G23))))))</f>
        <v>0</v>
      </c>
      <c r="K23" s="12">
        <f>IF(ISBLANK(F23),"",(I23*Q2)*J23)</f>
        <v>0</v>
      </c>
      <c r="L23" s="13"/>
      <c r="M23" s="26">
        <v>0.86</v>
      </c>
      <c r="N23" s="27">
        <v>0</v>
      </c>
      <c r="O23" s="11" t="str">
        <f>IF(ISBLANK(L23),"",IF(L23&lt;M23,0,1))</f>
        <v/>
      </c>
      <c r="P23" s="12" t="str">
        <f>IF(ISBLANK(L23),"",(N23*#REF!)*O23)</f>
        <v/>
      </c>
    </row>
    <row r="24" spans="1:16" ht="14.4" customHeight="1" x14ac:dyDescent="0.3">
      <c r="A24" s="38"/>
      <c r="B24" s="39" t="s">
        <v>31</v>
      </c>
      <c r="C24" s="40"/>
      <c r="D24" s="40"/>
      <c r="E24" s="41"/>
      <c r="F24" s="25">
        <v>0.92500000000000004</v>
      </c>
      <c r="G24" s="26">
        <v>0.91</v>
      </c>
      <c r="H24" s="26">
        <v>0.96</v>
      </c>
      <c r="I24" s="27"/>
      <c r="J24" s="11">
        <f>IF(ISBLANK(F24),"",IF(F24&lt;G24,0,IF(F24=G24,0.1,IF(F24&gt;=H24,1,((F24-G24)/(H24-G24))))))</f>
        <v>0.30000000000000066</v>
      </c>
      <c r="K24" s="12">
        <f>IF(ISBLANK(F24),"",(I24*$Q2)*J24)</f>
        <v>0</v>
      </c>
      <c r="L24" s="13"/>
      <c r="M24" s="26">
        <v>0.96</v>
      </c>
      <c r="N24" s="27">
        <v>0</v>
      </c>
      <c r="O24" s="11" t="str">
        <f t="shared" ref="O24" si="3">IF(ISBLANK(L24),"",IF(L24&lt;M24,0,1))</f>
        <v/>
      </c>
      <c r="P24" s="12" t="str">
        <f>IF(ISBLANK(L24),"",(N24*#REF!)*O24)</f>
        <v/>
      </c>
    </row>
    <row r="25" spans="1:16" ht="14.4" customHeight="1" x14ac:dyDescent="0.3">
      <c r="A25" s="38"/>
      <c r="B25" s="39" t="s">
        <v>32</v>
      </c>
      <c r="C25" s="40"/>
      <c r="D25" s="40"/>
      <c r="E25" s="41"/>
      <c r="F25" s="28">
        <v>3.7999999999999999E-2</v>
      </c>
      <c r="G25" s="29">
        <v>0.04</v>
      </c>
      <c r="H25" s="26">
        <v>0</v>
      </c>
      <c r="I25" s="27"/>
      <c r="J25" s="11">
        <f>IF(ISBLANK(F25),"",IF(F25&gt;G25,0,IF(F25=G25,0.1,IF(F25&lt;=H25,1,((F25-G25)/(H25-G25))))))</f>
        <v>5.0000000000000044E-2</v>
      </c>
      <c r="K25" s="12">
        <f>IF(ISBLANK(F25),"",(I25*$Q2)*J25)</f>
        <v>0</v>
      </c>
      <c r="L25" s="9"/>
      <c r="M25" s="26">
        <v>0.01</v>
      </c>
      <c r="N25" s="27">
        <v>0</v>
      </c>
      <c r="O25" s="11" t="str">
        <f>IF(ISBLANK(L25),"",IF(L25&gt;M25,0,1))</f>
        <v/>
      </c>
      <c r="P25" s="12" t="str">
        <f>IF(ISBLANK(L25),"",(N25*#REF!)*O25)</f>
        <v/>
      </c>
    </row>
    <row r="26" spans="1:16" ht="14.4" customHeight="1" x14ac:dyDescent="0.3">
      <c r="A26" s="38"/>
      <c r="B26" s="39" t="s">
        <v>33</v>
      </c>
      <c r="C26" s="40"/>
      <c r="D26" s="40"/>
      <c r="E26" s="41"/>
      <c r="F26" s="30">
        <v>1.81</v>
      </c>
      <c r="G26" s="31">
        <v>3</v>
      </c>
      <c r="H26" s="31">
        <v>1</v>
      </c>
      <c r="I26" s="27"/>
      <c r="J26" s="11">
        <f>IF(ISBLANK(F26),"",IF(F26&gt;G26,0,IF(F26=G26,0.1,IF(F26&lt;=H26,1,((F26-G26)/(H26-G26))))))</f>
        <v>0.59499999999999997</v>
      </c>
      <c r="K26" s="12">
        <f>IF(ISBLANK(F26),"",(I26*Q3)*J26)</f>
        <v>0</v>
      </c>
      <c r="L26" s="32"/>
      <c r="M26" s="31">
        <v>1</v>
      </c>
      <c r="N26" s="33">
        <v>0</v>
      </c>
      <c r="O26" s="11" t="str">
        <f>IF(ISBLANK(L26),"",IF(L26&gt;M26,0,1))</f>
        <v/>
      </c>
      <c r="P26" s="12" t="str">
        <f>IF(ISBLANK(L26),"",(N26*#REF!)*O26)</f>
        <v/>
      </c>
    </row>
    <row r="27" spans="1:16" ht="14.4" customHeight="1" x14ac:dyDescent="0.3">
      <c r="A27" s="38"/>
      <c r="B27" s="39" t="s">
        <v>34</v>
      </c>
      <c r="C27" s="40"/>
      <c r="D27" s="40"/>
      <c r="E27" s="41"/>
      <c r="F27" s="28">
        <v>9.4E-2</v>
      </c>
      <c r="G27" s="34">
        <v>0.15</v>
      </c>
      <c r="H27" s="26">
        <v>0.05</v>
      </c>
      <c r="I27" s="27"/>
      <c r="J27" s="11">
        <f>IF(ISBLANK(F27),"",IF(F27&gt;G27,0,IF(F27=G27,0.1,IF(F27&lt;=H27,1,((F27-G27)/(H27-G27))))))</f>
        <v>0.55999999999999994</v>
      </c>
      <c r="K27" s="12">
        <f>IF(ISBLANK(F27),"",(I27*Q2)*J27)</f>
        <v>0</v>
      </c>
      <c r="L27" s="13"/>
      <c r="M27" s="26">
        <v>0.05</v>
      </c>
      <c r="N27" s="35">
        <v>0.1</v>
      </c>
      <c r="O27" s="11" t="str">
        <f>IF(ISBLANK(L27),"",IF(L27&gt;M27,0,1))</f>
        <v/>
      </c>
      <c r="P27" s="12" t="str">
        <f>IF(ISBLANK(L27),"",(N27*#REF!)*O27)</f>
        <v/>
      </c>
    </row>
    <row r="28" spans="1:16" ht="14.4" customHeight="1" x14ac:dyDescent="0.3">
      <c r="A28" s="38"/>
      <c r="B28" s="39" t="s">
        <v>35</v>
      </c>
      <c r="C28" s="40"/>
      <c r="D28" s="40"/>
      <c r="E28" s="41"/>
      <c r="F28" s="25">
        <v>3.6799999999999999E-2</v>
      </c>
      <c r="G28" s="34">
        <v>0.05</v>
      </c>
      <c r="H28" s="26">
        <v>0.01</v>
      </c>
      <c r="I28" s="27"/>
      <c r="J28" s="11">
        <f>IF(ISBLANK(F28),"",IF(F28&gt;G28,0,IF(F28=G28,0.1,IF(F28&lt;=H28,1,((F28-G28)/(H28-G28))))))</f>
        <v>0.33000000000000007</v>
      </c>
      <c r="K28" s="12">
        <f>IF(ISBLANK(F28),"",(I28*Q2)*J28)</f>
        <v>0</v>
      </c>
      <c r="L28" s="13"/>
      <c r="M28" s="26">
        <v>0.01</v>
      </c>
      <c r="N28" s="35">
        <v>0.1</v>
      </c>
      <c r="O28" s="11" t="str">
        <f t="shared" ref="O28" si="4">IF(ISBLANK(L28),"",IF(L28&lt;G28,0,1))</f>
        <v/>
      </c>
      <c r="P28" s="12" t="str">
        <f>IF(ISBLANK(L28),"",(N28*#REF!)*O28)</f>
        <v/>
      </c>
    </row>
    <row r="29" spans="1:16" ht="14.4" customHeight="1" x14ac:dyDescent="0.3">
      <c r="A29" s="38"/>
      <c r="B29" s="39" t="s">
        <v>36</v>
      </c>
      <c r="C29" s="40"/>
      <c r="D29" s="40"/>
      <c r="E29" s="41"/>
      <c r="F29" s="36">
        <v>2.56</v>
      </c>
      <c r="G29" s="31">
        <v>9</v>
      </c>
      <c r="H29" s="31">
        <v>3</v>
      </c>
      <c r="I29" s="27"/>
      <c r="J29" s="11">
        <f>IF(ISBLANK(F29),"",IF(F29&gt;G29,0,IF(F29=G29,0.1,IF(F29&lt;=H29,1,((F29-G29)/(H29-G29))))))</f>
        <v>1</v>
      </c>
      <c r="K29" s="12">
        <f>IF(ISBLANK(F29),"",(I29*Q3)*J29)</f>
        <v>0</v>
      </c>
      <c r="L29" s="32"/>
      <c r="M29" s="31">
        <v>3</v>
      </c>
      <c r="N29" s="27">
        <v>0</v>
      </c>
      <c r="O29" s="11" t="str">
        <f>IF(ISBLANK(L29),"",IF(L29&gt;M29,0,1))</f>
        <v/>
      </c>
      <c r="P29" s="12" t="str">
        <f>IF(ISBLANK(L29),"",(N29*#REF!)*O29)</f>
        <v/>
      </c>
    </row>
    <row r="30" spans="1:16" ht="14.4" customHeight="1" x14ac:dyDescent="0.3">
      <c r="A30" s="38"/>
      <c r="B30" s="37" t="s">
        <v>37</v>
      </c>
      <c r="C30" s="37"/>
      <c r="D30" s="37"/>
      <c r="E30" s="37"/>
      <c r="F30" s="37"/>
      <c r="G30" s="37"/>
      <c r="H30" s="37"/>
      <c r="I30" s="22">
        <f>SUM(I23:I29)</f>
        <v>0</v>
      </c>
      <c r="J30" s="23"/>
      <c r="K30" s="24">
        <f>SUM(K23:K29)</f>
        <v>0</v>
      </c>
      <c r="L30" s="37"/>
      <c r="M30" s="37"/>
      <c r="N30" s="22">
        <f>SUM(N23:N29)</f>
        <v>0.2</v>
      </c>
      <c r="O30" s="23"/>
      <c r="P30" s="24">
        <f>SUM(P23:P29)</f>
        <v>0</v>
      </c>
    </row>
    <row r="31" spans="1:16" ht="14.4" customHeight="1" x14ac:dyDescent="0.3"/>
    <row r="32" spans="1:16" ht="14.4" customHeight="1" x14ac:dyDescent="0.3"/>
    <row r="33" ht="14.4" customHeight="1" x14ac:dyDescent="0.3"/>
    <row r="34" ht="14.4" customHeight="1" x14ac:dyDescent="0.3"/>
    <row r="35" ht="14.4" customHeight="1" x14ac:dyDescent="0.3"/>
    <row r="36" ht="14.4" customHeight="1" x14ac:dyDescent="0.3"/>
    <row r="37" ht="14.4" customHeight="1" x14ac:dyDescent="0.3"/>
  </sheetData>
  <mergeCells count="40">
    <mergeCell ref="L1:P1"/>
    <mergeCell ref="A2:D2"/>
    <mergeCell ref="B3:C5"/>
    <mergeCell ref="I3:I5"/>
    <mergeCell ref="B10:B18"/>
    <mergeCell ref="C10:C12"/>
    <mergeCell ref="A1:D1"/>
    <mergeCell ref="E1:E2"/>
    <mergeCell ref="F1:K1"/>
    <mergeCell ref="B6:D6"/>
    <mergeCell ref="E6:E9"/>
    <mergeCell ref="B7:D7"/>
    <mergeCell ref="B8:D8"/>
    <mergeCell ref="B9:D9"/>
    <mergeCell ref="P19:P21"/>
    <mergeCell ref="C20:D20"/>
    <mergeCell ref="C21:D21"/>
    <mergeCell ref="I10:I18"/>
    <mergeCell ref="K10:K18"/>
    <mergeCell ref="N10:N18"/>
    <mergeCell ref="P10:P18"/>
    <mergeCell ref="C13:C15"/>
    <mergeCell ref="C16:C18"/>
    <mergeCell ref="B19:B21"/>
    <mergeCell ref="C19:D19"/>
    <mergeCell ref="I19:I21"/>
    <mergeCell ref="K19:K21"/>
    <mergeCell ref="N19:N21"/>
    <mergeCell ref="B30:H30"/>
    <mergeCell ref="L30:M30"/>
    <mergeCell ref="B22:H22"/>
    <mergeCell ref="L22:M22"/>
    <mergeCell ref="A23:A30"/>
    <mergeCell ref="B23:E23"/>
    <mergeCell ref="B24:E24"/>
    <mergeCell ref="B25:E25"/>
    <mergeCell ref="B26:E26"/>
    <mergeCell ref="B27:E27"/>
    <mergeCell ref="B28:E28"/>
    <mergeCell ref="B29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2026-05-10T10:44:57Z</dcterms:created>
  <dcterms:modified xsi:type="dcterms:W3CDTF">2026-05-11T10:57:17Z</dcterms:modified>
</cp:coreProperties>
</file>